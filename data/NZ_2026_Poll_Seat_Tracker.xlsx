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at Calculator" sheetId="2" state="visible" r:id="rId4"/>
    <sheet name="Poll-by-Poll" sheetId="3" state="visible" r:id="rId5"/>
    <sheet name="Polls" sheetId="4" state="visible" r:id="rId6"/>
    <sheet name="Pollster Methods" sheetId="5" state="visible" r:id="rId7"/>
    <sheet name="Settings" sheetId="6" state="visible" r:id="rId8"/>
    <sheet name="Engi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<sst xmlns="http://schemas.openxmlformats.org/spreadsheetml/2006/main" count="576" uniqueCount="249">
  <si>
    <t xml:space="preserve">NZ 2026 election — poll tracker &amp; party-vote leverage model</t>
  </si>
  <si>
    <t xml:space="preserve">Updated 14 Oct 2026 for the 7 Nov 2026 general election. Poll data current to 13 Oct 2026 (latest: 1News–Verian, 8–12 Oct).</t>
  </si>
  <si>
    <t xml:space="preserve">What it answers</t>
  </si>
  <si>
    <t xml:space="preserve">Under MMP, seats are shared out with the Sainte-Laguë formula. At any moment one party is 'next in line' for the 121st seat. A party vote for that party is the one most likely to add an MP; a vote for a party far from its next seat, or below 5% with no electorate, is much less likely to change the seat count.</t>
  </si>
  <si>
    <t xml:space="preserve">Tabs</t>
  </si>
  <si>
    <t xml:space="preserve">Seat Calculator — pick 'Average' or any poll, optionally add a what-if adjustment, and see seats, the gap to each party's next seat, and a verdict.</t>
  </si>
  <si>
    <t xml:space="preserve">Poll-by-Poll — every poll run through the same engine, plus a summary of how often each party is next in line or close to a seat.</t>
  </si>
  <si>
    <t xml:space="preserve">Polls — the data. Add new polls in the blank blue rows; set Include = Y to put them in the average.</t>
  </si>
  <si>
    <t xml:space="preserve">Pollster Methods — how each company polls (phone, online, sampling), with what's verified vs to-check.</t>
  </si>
  <si>
    <t xml:space="preserve">Settings — seats, 5% threshold, vote-count estimate, 'close' thresholds, and the electorate seats each party is assumed to win.</t>
  </si>
  <si>
    <t xml:space="preserve">Engine — the Sainte-Laguë calculation (60 divisors per party per poll). No need to touch it.</t>
  </si>
  <si>
    <t xml:space="preserve">Colour legend</t>
  </si>
  <si>
    <t xml:space="preserve">Blue text = input you can edit · Black = formula · Green = linked from another tab · Yellow fill = key assumption</t>
  </si>
  <si>
    <t xml:space="preserve">Method</t>
  </si>
  <si>
    <t xml:space="preserve">1. Parties qualify with 5% of the party vote or at least one electorate. 2. Each qualifying party's share is divided by 1, 3, 5, 7 … and the 120 largest quotients win seats. 3. A party winning more electorates than its entitlement keeps them (overhang) and Parliament grows. 4. Gap to next seat = (2 × seats + 1) × the 120th quotient − party share. 5. Cushion = party share − (2 × seats − 1) × the 121st quotient (or distance to 5% if smaller).</t>
  </si>
  <si>
    <t xml:space="preserve">Caveats</t>
  </si>
  <si>
    <t xml:space="preserve">Poll margins of error (±2–3 pp) dwarf most seat gaps, so this shows where the margin sits, not a forecast. Gaps assume other parties' votes stay fixed. Electorate outcomes are assumptions in Settings; change them to test scenarios (e.g. Te Pāti Māori winning fewer seats, or Te Tai Tokerau Party winning its electorate). Exact ties in Sainte-Laguë (decided by lot) are ignored. Seat counts can differ by ±1 from published projections that make different electorate assumptions.</t>
  </si>
  <si>
    <t xml:space="preserve">Sources</t>
  </si>
  <si>
    <t xml:space="preserve">Wikipedia, 'Opinion polling for the 2026 New Zealand general election' (accessed 14 Oct 2026); RNZ (RNZ–Reid Research poll, 6 Oct 2026); 1News (1News–Verian polls, 6 and 13 Oct 2026); Roy Morgan (September 2026 NZ poll); interest.co.nz and NZ Herald (Taxpayers' Union–Curia, 9 Oct 2026). Method: Electoral Act 1993 Sainte-Laguë allocation, as used by the Electoral Commission's MMP seat calculator.</t>
  </si>
  <si>
    <t xml:space="preserve">MMP seat calculator — which party vote is closest to adding a seat?</t>
  </si>
  <si>
    <t xml:space="preserve">Scenario (pick 'Average' or a poll ID):</t>
  </si>
  <si>
    <t xml:space="preserve">Average</t>
  </si>
  <si>
    <t xml:space="preserve">Optional: type a what-if adjustment in column D (e.g. 0.5% to give a party half a point more).</t>
  </si>
  <si>
    <t xml:space="preserve">Party</t>
  </si>
  <si>
    <t xml:space="preserve">Code</t>
  </si>
  <si>
    <t xml:space="preserve">Poll share</t>
  </si>
  <si>
    <t xml:space="preserve">What-if adjustment (pp)</t>
  </si>
  <si>
    <t xml:space="preserve">Scenario share</t>
  </si>
  <si>
    <t xml:space="preserve">Electorates assumed</t>
  </si>
  <si>
    <t xml:space="preserve">In Parliament?</t>
  </si>
  <si>
    <t xml:space="preserve">List entitlement (seats)</t>
  </si>
  <si>
    <t xml:space="preserve">Final seats</t>
  </si>
  <si>
    <t xml:space="preserve">Overhang seats</t>
  </si>
  <si>
    <t xml:space="preserve">Gap to next seat (pp of total vote)</t>
  </si>
  <si>
    <t xml:space="preserve">≈ extra party votes needed</t>
  </si>
  <si>
    <t xml:space="preserve">Progress to next seat</t>
  </si>
  <si>
    <t xml:space="preserve">Cushion before losing a seat (pp)</t>
  </si>
  <si>
    <t xml:space="preserve">Verdict</t>
  </si>
  <si>
    <t xml:space="preserve">Leverage rank (1 = closest to +1 seat)</t>
  </si>
  <si>
    <t xml:space="preserve">Bloc</t>
  </si>
  <si>
    <t xml:space="preserve">National</t>
  </si>
  <si>
    <t xml:space="preserve">NAT</t>
  </si>
  <si>
    <t xml:space="preserve">Labour</t>
  </si>
  <si>
    <t xml:space="preserve">LAB</t>
  </si>
  <si>
    <t xml:space="preserve">Green</t>
  </si>
  <si>
    <t xml:space="preserve">GRN</t>
  </si>
  <si>
    <t xml:space="preserve">ACT</t>
  </si>
  <si>
    <t xml:space="preserve">NZ First</t>
  </si>
  <si>
    <t xml:space="preserve">NZF</t>
  </si>
  <si>
    <t xml:space="preserve">Te Pāti Māori</t>
  </si>
  <si>
    <t xml:space="preserve">TPM</t>
  </si>
  <si>
    <t xml:space="preserve">Opportunity</t>
  </si>
  <si>
    <t xml:space="preserve">OPP</t>
  </si>
  <si>
    <t xml:space="preserve">Total seats</t>
  </si>
  <si>
    <t xml:space="preserve">Seats needed for a majority</t>
  </si>
  <si>
    <t xml:space="preserve">Other electorate winners (from Settings)</t>
  </si>
  <si>
    <t xml:space="preserve">The marginal seat</t>
  </si>
  <si>
    <t xml:space="preserve">Party that won the last (120th) list seat:</t>
  </si>
  <si>
    <t xml:space="preserve">Party next in line for a seat (most leverage per vote):</t>
  </si>
  <si>
    <t xml:space="preserve">Bloc totals</t>
  </si>
  <si>
    <t xml:space="preserve">Seats</t>
  </si>
  <si>
    <t xml:space="preserve">Majority?</t>
  </si>
  <si>
    <t xml:space="preserve">Govt</t>
  </si>
  <si>
    <t xml:space="preserve">Opposition</t>
  </si>
  <si>
    <t xml:space="preserve">Undeclared</t>
  </si>
  <si>
    <t xml:space="preserve">Bloc names come from Settings column D; edit them there.</t>
  </si>
  <si>
    <t xml:space="preserve">How to read this:</t>
  </si>
  <si>
    <t xml:space="preserve">• Gap to next seat = how many more percentage points of the total party vote the party needs before Sainte-Laguë gives it one more seat (holding everyone else's vote fixed).</t>
  </si>
  <si>
    <t xml:space="preserve">• The smallest gap among parties in Parliament is where an extra party vote is most likely to turn into an extra seat. That party is 'next in line'.</t>
  </si>
  <si>
    <t xml:space="preserve">• For a party under 5% with no electorate, the gap is to the threshold instead. Crossing it brings in a whole block of MPs at once (about 6), but every vote below it elects nobody.</t>
  </si>
  <si>
    <t xml:space="preserve">• Overhang parties (more electorates than list entitlement) gain nothing from extra party votes until their entitlement passes their electorate count.</t>
  </si>
  <si>
    <t xml:space="preserve">• Poll error is ±2–3 pp per party, far bigger than most seat gaps. Treat this as 'where the margin sits', not a prediction.</t>
  </si>
  <si>
    <t xml:space="preserve">Poll-by-poll: seats, and how close each party is to its next seat</t>
  </si>
  <si>
    <t xml:space="preserve">Each poll run through the same Sainte-Laguë engine. Gap columns are pp of total party vote (threshold gap for sub-5% parties without an electorate). Greener = closer.</t>
  </si>
  <si>
    <t xml:space="preserve">Poll ID</t>
  </si>
  <si>
    <t xml:space="preserve">Pollster</t>
  </si>
  <si>
    <t xml:space="preserve">Fieldwork end</t>
  </si>
  <si>
    <t xml:space="preserve">Included?</t>
  </si>
  <si>
    <t xml:space="preserve">NAT seats</t>
  </si>
  <si>
    <t xml:space="preserve">LAB seats</t>
  </si>
  <si>
    <t xml:space="preserve">GRN seats</t>
  </si>
  <si>
    <t xml:space="preserve">ACT seats</t>
  </si>
  <si>
    <t xml:space="preserve">NZF seats</t>
  </si>
  <si>
    <t xml:space="preserve">TPM seats</t>
  </si>
  <si>
    <t xml:space="preserve">OPP seats</t>
  </si>
  <si>
    <t xml:space="preserve">Last seat to</t>
  </si>
  <si>
    <t xml:space="preserve">Next in line</t>
  </si>
  <si>
    <t xml:space="preserve">NAT gap</t>
  </si>
  <si>
    <t xml:space="preserve">LAB gap</t>
  </si>
  <si>
    <t xml:space="preserve">GRN gap</t>
  </si>
  <si>
    <t xml:space="preserve">ACT gap</t>
  </si>
  <si>
    <t xml:space="preserve">NZF gap</t>
  </si>
  <si>
    <t xml:space="preserve">TPM gap</t>
  </si>
  <si>
    <t xml:space="preserve">OPP gap</t>
  </si>
  <si>
    <t xml:space="preserve">Summary across INCLUDED polls</t>
  </si>
  <si>
    <t xml:space="preserve">Avg seats</t>
  </si>
  <si>
    <t xml:space="preserve">Avg gap to next seat (pp)</t>
  </si>
  <si>
    <t xml:space="preserve"># polls 'close' (gap ≤ Settings)</t>
  </si>
  <si>
    <t xml:space="preserve"># polls next in line</t>
  </si>
  <si>
    <t xml:space="preserve"># polls below threshold</t>
  </si>
  <si>
    <t xml:space="preserve">Share of polls next in line</t>
  </si>
  <si>
    <t xml:space="preserve">Reading it: 'next in line' = the party whose next seat would be the 121st allocated. A party that is often next in line is where a marginal party vote most often matters.</t>
  </si>
  <si>
    <t xml:space="preserve">Poll tracker — party vote</t>
  </si>
  <si>
    <t xml:space="preserve">Add new polls in the blank rows (blue). Shares as % of decided party vote. Leave a party blank if not reported. Set Include = Y to use the poll in the average.</t>
  </si>
  <si>
    <t xml:space="preserve">Example row format: ID 'Curia Oct' | Pollster picked from list | '1–5 Oct 2026' | end date | sample | shares like 28.5%.</t>
  </si>
  <si>
    <t xml:space="preserve">Fieldwork</t>
  </si>
  <si>
    <t xml:space="preserve">Method (auto)</t>
  </si>
  <si>
    <t xml:space="preserve">Sample size</t>
  </si>
  <si>
    <t xml:space="preserve">Margin of error (±, 95%)</t>
  </si>
  <si>
    <t xml:space="preserve">Others / unreported</t>
  </si>
  <si>
    <t xml:space="preserve">Include in average? (Y/N)</t>
  </si>
  <si>
    <t xml:space="preserve">Source / notes</t>
  </si>
  <si>
    <t xml:space="preserve">Verian 12 Oct</t>
  </si>
  <si>
    <t xml:space="preserve">1News–Verian</t>
  </si>
  <si>
    <t xml:space="preserve">8–12 Oct 2026</t>
  </si>
  <si>
    <t xml:space="preserve">Y</t>
  </si>
  <si>
    <t xml:space="preserve">1News / RNZ, 13 Oct 2026</t>
  </si>
  <si>
    <t xml:space="preserve">Curia Oct</t>
  </si>
  <si>
    <t xml:space="preserve">Taxpayers' Union–Curia</t>
  </si>
  <si>
    <t xml:space="preserve">1–5 Oct 2026</t>
  </si>
  <si>
    <t xml:space="preserve">interest.co.nz, 9 Oct 2026; TPM from NZ Herald</t>
  </si>
  <si>
    <t xml:space="preserve">Verian 5 Oct</t>
  </si>
  <si>
    <t xml:space="preserve">NZ Herald / The Conversation, 6 Oct 2026</t>
  </si>
  <si>
    <t xml:space="preserve">Reid Oct</t>
  </si>
  <si>
    <t xml:space="preserve">RNZ–Reid Research</t>
  </si>
  <si>
    <t xml:space="preserve">24 Sep–1 Oct 2026</t>
  </si>
  <si>
    <t xml:space="preserve">RNZ, 6 Oct 2026. TPM not reported in source.</t>
  </si>
  <si>
    <t xml:space="preserve">Verian 27 Sep</t>
  </si>
  <si>
    <t xml:space="preserve">23–27 Sep 2026</t>
  </si>
  <si>
    <t xml:space="preserve">Wikipedia polling table</t>
  </si>
  <si>
    <t xml:space="preserve">Roy Morgan Sep</t>
  </si>
  <si>
    <t xml:space="preserve">Roy Morgan</t>
  </si>
  <si>
    <t xml:space="preserve">31 Aug–27 Sep 2026</t>
  </si>
  <si>
    <t xml:space="preserve">roymorgan.com / Wikipedia polling table</t>
  </si>
  <si>
    <t xml:space="preserve">Freshwater Sep</t>
  </si>
  <si>
    <t xml:space="preserve">The Post/Freshwater Strategy</t>
  </si>
  <si>
    <t xml:space="preserve">4–11 Sep 2026</t>
  </si>
  <si>
    <t xml:space="preserve">Anacta Sep</t>
  </si>
  <si>
    <t xml:space="preserve">Anacta</t>
  </si>
  <si>
    <t xml:space="preserve">4–10 Sep 2026</t>
  </si>
  <si>
    <t xml:space="preserve">Curia Sep</t>
  </si>
  <si>
    <t xml:space="preserve">1–3 Sep 2026</t>
  </si>
  <si>
    <t xml:space="preserve">Roy Morgan Aug</t>
  </si>
  <si>
    <t xml:space="preserve">27 Jul–23 Aug 2026</t>
  </si>
  <si>
    <t xml:space="preserve">N</t>
  </si>
  <si>
    <t xml:space="preserve">Reid Aug</t>
  </si>
  <si>
    <t xml:space="preserve">14–21 Aug 2026</t>
  </si>
  <si>
    <t xml:space="preserve">Verian Aug</t>
  </si>
  <si>
    <t xml:space="preserve">8–11 Aug 2026</t>
  </si>
  <si>
    <t xml:space="preserve">Talbot Mills Aug</t>
  </si>
  <si>
    <t xml:space="preserve">Talbot Mills</t>
  </si>
  <si>
    <t xml:space="preserve">1–11 Aug 2026</t>
  </si>
  <si>
    <t xml:space="preserve">Wikipedia polling table. Sample not published.</t>
  </si>
  <si>
    <t xml:space="preserve">Curia Aug</t>
  </si>
  <si>
    <t xml:space="preserve">1–4 Aug 2026</t>
  </si>
  <si>
    <t xml:space="preserve">Average of included polls</t>
  </si>
  <si>
    <t xml:space="preserve">Simple (unweighted) mean. Blank cells are skipped. Where a poll leaves a party blank, the seat engine fills it with this average (matters mainly for TPM's overhang).</t>
  </si>
  <si>
    <t xml:space="preserve">Polling companies and how they poll</t>
  </si>
  <si>
    <t xml:space="preserve">'Verified' rows are confirmed from a cited source this month; others reflect each firm's usual practice and should be checked against their latest report.</t>
  </si>
  <si>
    <t xml:space="preserve">Commissioned by</t>
  </si>
  <si>
    <t xml:space="preserve">Mode</t>
  </si>
  <si>
    <t xml:space="preserve">Sampling &amp; weighting</t>
  </si>
  <si>
    <t xml:space="preserve">Typical sample</t>
  </si>
  <si>
    <t xml:space="preserve">Frequency</t>
  </si>
  <si>
    <t xml:space="preserve">Notes</t>
  </si>
  <si>
    <t xml:space="preserve">Status / source</t>
  </si>
  <si>
    <t xml:space="preserve">Taxpayers' Union</t>
  </si>
  <si>
    <t xml:space="preserve">Phone (landline &amp; mobile) + online</t>
  </si>
  <si>
    <t xml:space="preserve">Random sample of adults, weighted to adult population</t>
  </si>
  <si>
    <t xml:space="preserve">1,000</t>
  </si>
  <si>
    <t xml:space="preserve">Monthly</t>
  </si>
  <si>
    <t xml:space="preserve">Curia is no longer a member of the Research Association of NZ (RANZ).</t>
  </si>
  <si>
    <t xml:space="preserve">Verified: interest.co.nz, 9 Oct 2026; Wikipedia polling page</t>
  </si>
  <si>
    <t xml:space="preserve">TVNZ (1News)</t>
  </si>
  <si>
    <t xml:space="preserve">Half mobile phone (random dialling), half online panels</t>
  </si>
  <si>
    <t xml:space="preserve">Probability mobile sample plus targeted online panel, weighted</t>
  </si>
  <si>
    <t xml:space="preserve">~1,000</t>
  </si>
  <si>
    <t xml:space="preserve">Weekly in final campaign weeks</t>
  </si>
  <si>
    <t xml:space="preserve">Formerly Colmar Brunton / Kantar Public. Reports Te Pāti Māori to 1 decimal place.</t>
  </si>
  <si>
    <t xml:space="preserve">Verified: 1News, 13 Oct 2026 (501 phone / 506 online)</t>
  </si>
  <si>
    <t xml:space="preserve">RNZ</t>
  </si>
  <si>
    <t xml:space="preserve">Online</t>
  </si>
  <si>
    <t xml:space="preserve">Quota sampling, weighted by age, gender and geography</t>
  </si>
  <si>
    <t xml:space="preserve">Every few weeks in campaign</t>
  </si>
  <si>
    <t xml:space="preserve">Party vote excludes undecided and non-voters.</t>
  </si>
  <si>
    <t xml:space="preserve">Verified: RNZ, Oct 2026 poll</t>
  </si>
  <si>
    <t xml:space="preserve">Roy Morgan (own)</t>
  </si>
  <si>
    <t xml:space="preserve">Phone (landline &amp; mobile)</t>
  </si>
  <si>
    <t xml:space="preserve">NZ-wide cross-section over a 4-week window</t>
  </si>
  <si>
    <t xml:space="preserve">~850–900</t>
  </si>
  <si>
    <t xml:space="preserve">Long fieldwork window, so it reacts slowly to events.</t>
  </si>
  <si>
    <t xml:space="preserve">Verified: roymorgan.com, Sep 2026 release</t>
  </si>
  <si>
    <t xml:space="preserve">Corporate clients (sometimes Labour)</t>
  </si>
  <si>
    <t xml:space="preserve">Not consistently published</t>
  </si>
  <si>
    <t xml:space="preserve">Often unpublished</t>
  </si>
  <si>
    <t xml:space="preserve">Labelled 'Labour–Talbot Mills' when commissioned by Labour.</t>
  </si>
  <si>
    <t xml:space="preserve">Check source for each poll</t>
  </si>
  <si>
    <t xml:space="preserve">The Post</t>
  </si>
  <si>
    <t xml:space="preserve">Online panel</t>
  </si>
  <si>
    <t xml:space="preserve">Weighted online panel</t>
  </si>
  <si>
    <t xml:space="preserve">Irregular</t>
  </si>
  <si>
    <t xml:space="preserve">Publishes whole-number results.</t>
  </si>
  <si>
    <t xml:space="preserve">Check The Post release for details</t>
  </si>
  <si>
    <t xml:space="preserve">Not stated</t>
  </si>
  <si>
    <t xml:space="preserve">1,701 (Sep 2026)</t>
  </si>
  <si>
    <t xml:space="preserve">Newer entrant; method not confirmed.</t>
  </si>
  <si>
    <t xml:space="preserve">Unverified</t>
  </si>
  <si>
    <t xml:space="preserve">Settings &amp; assumptions</t>
  </si>
  <si>
    <t xml:space="preserve">Blue text = inputs you can change. Yellow = key assumptions.</t>
  </si>
  <si>
    <t xml:space="preserve">Scenario list (feeds dropdown)</t>
  </si>
  <si>
    <t xml:space="preserve">List + electorate seats (normal size of Parliament)</t>
  </si>
  <si>
    <t xml:space="preserve">Electoral Act: 120 seats before any overhang.</t>
  </si>
  <si>
    <t xml:space="preserve">Party-vote threshold</t>
  </si>
  <si>
    <t xml:space="preserve">5% of party vote, or win 1+ electorate.</t>
  </si>
  <si>
    <t xml:space="preserve">Estimated total party votes cast</t>
  </si>
  <si>
    <t xml:space="preserve">Assumption: rough national total, used only to convert percentage-point gaps into vote counts. Edit if you have a better estimate.</t>
  </si>
  <si>
    <t xml:space="preserve">'Very close' if gap to next seat ≤</t>
  </si>
  <si>
    <t xml:space="preserve">0.25 percentage points of the total party vote.</t>
  </si>
  <si>
    <t xml:space="preserve">'Close' if gap ≤</t>
  </si>
  <si>
    <t xml:space="preserve">0.5 pp.</t>
  </si>
  <si>
    <t xml:space="preserve">'Possible' if gap ≤</t>
  </si>
  <si>
    <t xml:space="preserve">1.0 pp. Anything bigger is labelled 'Not near a seat'.</t>
  </si>
  <si>
    <t xml:space="preserve">Electorate seats won by other parties / independents</t>
  </si>
  <si>
    <t xml:space="preserve">e.g. if Te Tai Tokerau Party won its electorate, enter 1. Each adds an overhang seat.</t>
  </si>
  <si>
    <t xml:space="preserve">Electorate seats each party is assumed to win</t>
  </si>
  <si>
    <t xml:space="preserve">Bloc (your label)</t>
  </si>
  <si>
    <t xml:space="preserve">Why this default</t>
  </si>
  <si>
    <t xml:space="preserve">Left at 0: National's electorates are well below its list entitlement, so they don't change the seat count.</t>
  </si>
  <si>
    <t xml:space="preserve">Left at 0 for the same reason as National.</t>
  </si>
  <si>
    <t xml:space="preserve">Assumes Greens hold Auckland Central, Rongotai and Wellington Central (common projection assumption).</t>
  </si>
  <si>
    <t xml:space="preserve">Assumes ACT holds Epsom and Tāmaki.</t>
  </si>
  <si>
    <t xml:space="preserve">No electorates held; must clear 5%.</t>
  </si>
  <si>
    <t xml:space="preserve">Assumes 4 Māori electorates (Hauraki-Waikato, Tāmaki Makaurau, Te Tai Hauāuru, Waiariki), per Wikipedia projection convention. Creates overhang.</t>
  </si>
  <si>
    <t xml:space="preserve">No electorates; must clear 5%.</t>
  </si>
  <si>
    <t xml:space="preserve">Bloc labels are just for adding up seats on the calculator. Change them to any grouping you like.</t>
  </si>
  <si>
    <t xml:space="preserve">Divisor →</t>
  </si>
  <si>
    <t xml:space="preserve">Engine: Sainte-Laguë allocation (do not edit). One block per poll, plus the average and the calculator scenario.</t>
  </si>
  <si>
    <t xml:space="preserve">Block / party</t>
  </si>
  <si>
    <t xml:space="preserve">Valid</t>
  </si>
  <si>
    <t xml:space="preserve">120th quotient</t>
  </si>
  <si>
    <t xml:space="preserve">121st quotient</t>
  </si>
  <si>
    <t xml:space="preserve">Entitlement</t>
  </si>
  <si>
    <t xml:space="preserve">Gap to next seat</t>
  </si>
  <si>
    <t xml:space="preserve">Cushion</t>
  </si>
  <si>
    <t xml:space="preserve">Progress</t>
  </si>
  <si>
    <t xml:space="preserve">Holds last seat</t>
  </si>
  <si>
    <t xml:space="preserve">Raw share</t>
  </si>
  <si>
    <t xml:space="preserve">Status</t>
  </si>
  <si>
    <t xml:space="preserve">Calculator scenario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</si>
</sst>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;\-0.0%;\-"/>
    <numFmt numFmtId="166" formatCode="General"/>
    <numFmt numFmtId="167" formatCode="0.00%;\-0.00%;\-"/>
    <numFmt numFmtId="168" formatCode="#,##0"/>
    <numFmt numFmtId="169" formatCode="0%"/>
    <numFmt numFmtId="170" formatCode="0"/>
    <numFmt numFmtId="171" formatCode="d\ mmm\ yyyy"/>
    <numFmt numFmtId="172" formatCode="0.0"/>
    <numFmt numFmtId="173" formatCode="0&quot; polls&quot;"/>
    <numFmt numFmtId="174" formatCode="0.0%"/>
    <numFmt numFmtId="175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seats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'Seat Calculator'!I7</c:f>
              <c:strCache>
                <c:ptCount val="1"/>
                <c:pt idx="0">
                  <c:v>Final seats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'Seat Calculator'!$A$8:$A$14</c:f>
              <c:strCache>
                <c:ptCount val="7"/>
                <c:pt idx="0">
                  <c:v>National</c:v>
                </c:pt>
                <c:pt idx="1">
                  <c:v>Labour</c:v>
                </c:pt>
                <c:pt idx="2">
                  <c:v>Green</c:v>
                </c:pt>
                <c:pt idx="3">
                  <c:v>ACT</c:v>
                </c:pt>
                <c:pt idx="4">
                  <c:v>NZ First</c:v>
                </c:pt>
                <c:pt idx="5">
                  <c:v>Te Pāti Māori</c:v>
                </c:pt>
                <c:pt idx="6">
                  <c:v>Opportunity</c:v>
                </c:pt>
              </c:strCache>
            </c:strRef>
          </c:cat>
          <c:val>
            <c:numRef>
              <c:f>'Seat Calculator'!$I$8:$I$14</c:f>
              <c:numCache>
                <c:formatCode>General</c:formatCode>
                <c:ptCount val="7"/>
                <c:pt idx="0">
                  <c:v>34</c:v>
                </c:pt>
                <c:pt idx="1">
                  <c:v>34</c:v>
                </c:pt>
                <c:pt idx="2">
                  <c:v>18</c:v>
                </c:pt>
                <c:pt idx="3">
                  <c:v>12</c:v>
                </c:pt>
                <c:pt idx="4">
                  <c:v>13</c:v>
                </c:pt>
                <c:pt idx="5">
                  <c:v>4</c:v>
                </c:pt>
                <c:pt idx="6">
                  <c:v>7</c:v>
                </c:pt>
              </c:numCache>
            </c:numRef>
          </c:val>
        </c:ser>
        <c:gapWidth val="150"/>
        <c:overlap val="0"/>
        <c:axId val="93724652"/>
        <c:axId val="4688425"/>
      </c:barChart>
      <c:catAx>
        <c:axId val="93724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8425"/>
        <c:crosses val="autoZero"/>
        <c:auto val="1"/>
        <c:lblAlgn val="ctr"/>
        <c:lblOffset val="100"/>
        <c:noMultiLvlLbl val="0"/>
      </c:catAx>
      <c:valAx>
        <c:axId val="4688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246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18</xdr:row>
      <xdr:rowOff>160920</xdr:rowOff>
    </xdr:from>
    <xdr:to>
      <xdr:col>12</xdr:col>
      <xdr:colOff>747720</xdr:colOff>
      <xdr:row>33</xdr:row>
      <xdr:rowOff>2880</xdr:rowOff>
    </xdr:to>
    <xdr:graphicFrame>
      <xdr:nvGraphicFramePr>
        <xdr:cNvPr id="0" name="Chart 1"/>
        <xdr:cNvGraphicFramePr/>
      </xdr:nvGraphicFramePr>
      <xdr:xfrm>
        <a:off x="472248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9.5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6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52.2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15</v>
      </c>
    </row>
    <row r="22" customFormat="false" ht="52.2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17</v>
      </c>
    </row>
    <row r="25" customFormat="false" ht="52.2" hidden="false" customHeight="false" outlineLevel="0" collapsed="false">
      <c r="A25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30"/>
    <col collapsed="false" customWidth="true" hidden="false" outlineLevel="0" max="16" min="16" style="0" width="13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5" t="s">
        <v>19</v>
      </c>
    </row>
    <row r="3" customFormat="false" ht="15" hidden="false" customHeight="false" outlineLevel="0" collapsed="false">
      <c r="A3" s="6" t="s">
        <v>20</v>
      </c>
      <c r="C3" s="7" t="s">
        <v>21</v>
      </c>
    </row>
    <row r="4" customFormat="false" ht="15" hidden="false" customHeight="false" outlineLevel="0" collapsed="false">
      <c r="A4" s="8" t="s">
        <v>22</v>
      </c>
    </row>
    <row r="7" customFormat="false" ht="45" hidden="false" customHeight="true" outlineLevel="0" collapsed="false">
      <c r="A7" s="9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9" t="s">
        <v>34</v>
      </c>
      <c r="M7" s="9" t="s">
        <v>35</v>
      </c>
      <c r="N7" s="9" t="s">
        <v>36</v>
      </c>
      <c r="O7" s="9" t="s">
        <v>37</v>
      </c>
      <c r="P7" s="9" t="s">
        <v>38</v>
      </c>
      <c r="Q7" s="9" t="s">
        <v>39</v>
      </c>
    </row>
    <row r="8" customFormat="false" ht="15" hidden="false" customHeight="false" outlineLevel="0" collapsed="false">
      <c r="A8" s="10" t="s">
        <v>40</v>
      </c>
      <c r="B8" s="10" t="s">
        <v>41</v>
      </c>
      <c r="C8" s="11" t="n">
        <f aca="false">IF($C$3="Average",N(Polls!H37),IFERROR(N(INDEX(Polls!H$6:H$35,MATCH($C$3,Polls!$A$6:$A$35,0))),0))</f>
        <v>0.284888888888889</v>
      </c>
      <c r="D8" s="12" t="n">
        <v>0</v>
      </c>
      <c r="E8" s="11" t="n">
        <f aca="false">MAX(0,C8+D8)</f>
        <v>0.284888888888889</v>
      </c>
      <c r="F8" s="13" t="n">
        <f aca="false">Settings!$C$14</f>
        <v>0</v>
      </c>
      <c r="G8" s="10" t="str">
        <f aca="false">IF(Engine!BT283="Next seat","Yes","No")</f>
        <v>Yes</v>
      </c>
      <c r="H8" s="10" t="n">
        <f aca="false">Engine!BL283</f>
        <v>34</v>
      </c>
      <c r="I8" s="10" t="n">
        <f aca="false">Engine!BM283</f>
        <v>34</v>
      </c>
      <c r="J8" s="10" t="n">
        <f aca="false">MAX(0,I8-H8)</f>
        <v>0</v>
      </c>
      <c r="K8" s="14" t="n">
        <f aca="false">Engine!BN283</f>
        <v>0.000311111111111095</v>
      </c>
      <c r="L8" s="15" t="n">
        <f aca="false">IF(K8="","",ROUND(K8*Settings!$B$6,-2))</f>
        <v>900</v>
      </c>
      <c r="M8" s="16" t="n">
        <f aca="false">Engine!BP283</f>
        <v>0.962365591397848</v>
      </c>
      <c r="N8" s="14" t="n">
        <f aca="false">Engine!BO283</f>
        <v>0.00825764895330111</v>
      </c>
      <c r="O8" s="10" t="str">
        <f aca="false">IF(G8="No",IF(K8&lt;=Settings!$B$9,"Below 5% but within reach","Below 5% — vote doesn't win a seat"),IF(K8&lt;=Settings!$B$7,"Very close to +1 seat",IF(K8&lt;=Settings!$B$8,"Close to +1 seat",IF(K8&lt;=Settings!$B$9,"Possible +1 seat","Not near a seat"))))</f>
        <v>Very close to +1 seat</v>
      </c>
      <c r="P8" s="10" t="n">
        <f aca="false">IF(G8="Yes",COUNTIFS($G$8:$G$14,"Yes",$K$8:$K$14,"&lt;"&amp;K8)+1,"")</f>
        <v>1</v>
      </c>
      <c r="Q8" s="13" t="str">
        <f aca="false">Settings!D14</f>
        <v>Govt</v>
      </c>
    </row>
    <row r="9" customFormat="false" ht="15" hidden="false" customHeight="false" outlineLevel="0" collapsed="false">
      <c r="A9" s="10" t="s">
        <v>42</v>
      </c>
      <c r="B9" s="10" t="s">
        <v>43</v>
      </c>
      <c r="C9" s="11" t="n">
        <f aca="false">IF($C$3="Average",N(Polls!I37),IFERROR(N(INDEX(Polls!I$6:I$35,MATCH($C$3,Polls!$A$6:$A$35,0))),0))</f>
        <v>0.279333333333333</v>
      </c>
      <c r="D9" s="12" t="n">
        <v>0</v>
      </c>
      <c r="E9" s="11" t="n">
        <f aca="false">MAX(0,C9+D9)</f>
        <v>0.279333333333333</v>
      </c>
      <c r="F9" s="13" t="n">
        <f aca="false">Settings!$C$15</f>
        <v>0</v>
      </c>
      <c r="G9" s="10" t="str">
        <f aca="false">IF(Engine!BT284="Next seat","Yes","No")</f>
        <v>Yes</v>
      </c>
      <c r="H9" s="10" t="n">
        <f aca="false">Engine!BL284</f>
        <v>34</v>
      </c>
      <c r="I9" s="10" t="n">
        <f aca="false">Engine!BM284</f>
        <v>34</v>
      </c>
      <c r="J9" s="10" t="n">
        <f aca="false">MAX(0,I9-H9)</f>
        <v>0</v>
      </c>
      <c r="K9" s="14" t="n">
        <f aca="false">Engine!BN284</f>
        <v>0.00586666666666663</v>
      </c>
      <c r="L9" s="15" t="n">
        <f aca="false">IF(K9="","",ROUND(K9*Settings!$B$6,-2))</f>
        <v>17000</v>
      </c>
      <c r="M9" s="16" t="n">
        <f aca="false">Engine!BP284</f>
        <v>0.290322580645167</v>
      </c>
      <c r="N9" s="14" t="n">
        <f aca="false">Engine!BO284</f>
        <v>0.00270209339774558</v>
      </c>
      <c r="O9" s="10" t="str">
        <f aca="false">IF(G9="No",IF(K9&lt;=Settings!$B$9,"Below 5% but within reach","Below 5% — vote doesn't win a seat"),IF(K9&lt;=Settings!$B$7,"Very close to +1 seat",IF(K9&lt;=Settings!$B$8,"Close to +1 seat",IF(K9&lt;=Settings!$B$9,"Possible +1 seat","Not near a seat"))))</f>
        <v>Possible +1 seat</v>
      </c>
      <c r="P9" s="10" t="n">
        <f aca="false">IF(G9="Yes",COUNTIFS($G$8:$G$14,"Yes",$K$8:$K$14,"&lt;"&amp;K9)+1,"")</f>
        <v>3</v>
      </c>
      <c r="Q9" s="13" t="str">
        <f aca="false">Settings!D15</f>
        <v>Opposition</v>
      </c>
    </row>
    <row r="10" customFormat="false" ht="15" hidden="false" customHeight="false" outlineLevel="0" collapsed="false">
      <c r="A10" s="10" t="s">
        <v>44</v>
      </c>
      <c r="B10" s="10" t="s">
        <v>45</v>
      </c>
      <c r="C10" s="11" t="n">
        <f aca="false">IF($C$3="Average",N(Polls!J37),IFERROR(N(INDEX(Polls!J$6:J$35,MATCH($C$3,Polls!$A$6:$A$35,0))),0))</f>
        <v>0.145555555555556</v>
      </c>
      <c r="D10" s="12" t="n">
        <v>0</v>
      </c>
      <c r="E10" s="11" t="n">
        <f aca="false">MAX(0,C10+D10)</f>
        <v>0.145555555555556</v>
      </c>
      <c r="F10" s="13" t="n">
        <f aca="false">Settings!$C$16</f>
        <v>3</v>
      </c>
      <c r="G10" s="10" t="str">
        <f aca="false">IF(Engine!BT285="Next seat","Yes","No")</f>
        <v>Yes</v>
      </c>
      <c r="H10" s="10" t="n">
        <f aca="false">Engine!BL285</f>
        <v>18</v>
      </c>
      <c r="I10" s="10" t="n">
        <f aca="false">Engine!BM285</f>
        <v>18</v>
      </c>
      <c r="J10" s="10" t="n">
        <f aca="false">MAX(0,I10-H10)</f>
        <v>0</v>
      </c>
      <c r="K10" s="14" t="n">
        <f aca="false">Engine!BN285</f>
        <v>0.00737777777777779</v>
      </c>
      <c r="L10" s="15" t="n">
        <f aca="false">IF(K10="","",ROUND(K10*Settings!$B$6,-2))</f>
        <v>21400</v>
      </c>
      <c r="M10" s="16" t="n">
        <f aca="false">Engine!BP285</f>
        <v>0.107526881720428</v>
      </c>
      <c r="N10" s="14" t="n">
        <f aca="false">Engine!BO285</f>
        <v>0.0010466988727858</v>
      </c>
      <c r="O10" s="10" t="str">
        <f aca="false">IF(G10="No",IF(K10&lt;=Settings!$B$9,"Below 5% but within reach","Below 5% — vote doesn't win a seat"),IF(K10&lt;=Settings!$B$7,"Very close to +1 seat",IF(K10&lt;=Settings!$B$8,"Close to +1 seat",IF(K10&lt;=Settings!$B$9,"Possible +1 seat","Not near a seat"))))</f>
        <v>Possible +1 seat</v>
      </c>
      <c r="P10" s="10" t="n">
        <f aca="false">IF(G10="Yes",COUNTIFS($G$8:$G$14,"Yes",$K$8:$K$14,"&lt;"&amp;K10)+1,"")</f>
        <v>5</v>
      </c>
      <c r="Q10" s="13" t="str">
        <f aca="false">Settings!D16</f>
        <v>Opposition</v>
      </c>
    </row>
    <row r="11" customFormat="false" ht="15" hidden="false" customHeight="false" outlineLevel="0" collapsed="false">
      <c r="A11" s="10" t="s">
        <v>46</v>
      </c>
      <c r="B11" s="10" t="s">
        <v>46</v>
      </c>
      <c r="C11" s="11" t="n">
        <f aca="false">IF($C$3="Average",N(Polls!K37),IFERROR(N(INDEX(Polls!K$6:K$35,MATCH($C$3,Polls!$A$6:$A$35,0))),0))</f>
        <v>0.0963333333333333</v>
      </c>
      <c r="D11" s="12" t="n">
        <v>0</v>
      </c>
      <c r="E11" s="11" t="n">
        <f aca="false">MAX(0,C11+D11)</f>
        <v>0.0963333333333333</v>
      </c>
      <c r="F11" s="13" t="n">
        <f aca="false">Settings!$C$17</f>
        <v>2</v>
      </c>
      <c r="G11" s="10" t="str">
        <f aca="false">IF(Engine!BT286="Next seat","Yes","No")</f>
        <v>Yes</v>
      </c>
      <c r="H11" s="10" t="n">
        <f aca="false">Engine!BL286</f>
        <v>12</v>
      </c>
      <c r="I11" s="10" t="n">
        <f aca="false">Engine!BM286</f>
        <v>12</v>
      </c>
      <c r="J11" s="10" t="n">
        <f aca="false">MAX(0,I11-H11)</f>
        <v>0</v>
      </c>
      <c r="K11" s="14" t="n">
        <f aca="false">Engine!BN286</f>
        <v>0.00700000000000001</v>
      </c>
      <c r="L11" s="15" t="n">
        <f aca="false">IF(K11="","",ROUND(K11*Settings!$B$6,-2))</f>
        <v>20300</v>
      </c>
      <c r="M11" s="16" t="n">
        <f aca="false">Engine!BP286</f>
        <v>0.153225806451612</v>
      </c>
      <c r="N11" s="14" t="n">
        <f aca="false">Engine!BO286</f>
        <v>0.00137037037037036</v>
      </c>
      <c r="O11" s="10" t="str">
        <f aca="false">IF(G11="No",IF(K11&lt;=Settings!$B$9,"Below 5% but within reach","Below 5% — vote doesn't win a seat"),IF(K11&lt;=Settings!$B$7,"Very close to +1 seat",IF(K11&lt;=Settings!$B$8,"Close to +1 seat",IF(K11&lt;=Settings!$B$9,"Possible +1 seat","Not near a seat"))))</f>
        <v>Possible +1 seat</v>
      </c>
      <c r="P11" s="10" t="n">
        <f aca="false">IF(G11="Yes",COUNTIFS($G$8:$G$14,"Yes",$K$8:$K$14,"&lt;"&amp;K11)+1,"")</f>
        <v>4</v>
      </c>
      <c r="Q11" s="13" t="str">
        <f aca="false">Settings!D17</f>
        <v>Govt</v>
      </c>
    </row>
    <row r="12" customFormat="false" ht="15" hidden="false" customHeight="false" outlineLevel="0" collapsed="false">
      <c r="A12" s="10" t="s">
        <v>47</v>
      </c>
      <c r="B12" s="10" t="s">
        <v>48</v>
      </c>
      <c r="C12" s="11" t="n">
        <f aca="false">IF($C$3="Average",N(Polls!L37),IFERROR(N(INDEX(Polls!L$6:L$35,MATCH($C$3,Polls!$A$6:$A$35,0))),0))</f>
        <v>0.103333333333333</v>
      </c>
      <c r="D12" s="12" t="n">
        <v>0</v>
      </c>
      <c r="E12" s="11" t="n">
        <f aca="false">MAX(0,C12+D12)</f>
        <v>0.103333333333333</v>
      </c>
      <c r="F12" s="13" t="n">
        <f aca="false">Settings!$C$18</f>
        <v>0</v>
      </c>
      <c r="G12" s="10" t="str">
        <f aca="false">IF(Engine!BT287="Next seat","Yes","No")</f>
        <v>Yes</v>
      </c>
      <c r="H12" s="10" t="n">
        <f aca="false">Engine!BL287</f>
        <v>13</v>
      </c>
      <c r="I12" s="10" t="n">
        <f aca="false">Engine!BM287</f>
        <v>13</v>
      </c>
      <c r="J12" s="10" t="n">
        <f aca="false">MAX(0,I12-H12)</f>
        <v>0</v>
      </c>
      <c r="K12" s="14" t="n">
        <f aca="false">Engine!BN287</f>
        <v>0.00826666666666667</v>
      </c>
      <c r="L12" s="15" t="n">
        <f aca="false">IF(K12="","",ROUND(K12*Settings!$B$6,-2))</f>
        <v>24000</v>
      </c>
      <c r="M12" s="16" t="n">
        <f aca="false">Engine!BP287</f>
        <v>0</v>
      </c>
      <c r="N12" s="14" t="n">
        <f aca="false">Engine!BO287</f>
        <v>0.000112721417069223</v>
      </c>
      <c r="O12" s="10" t="str">
        <f aca="false">IF(G12="No",IF(K12&lt;=Settings!$B$9,"Below 5% but within reach","Below 5% — vote doesn't win a seat"),IF(K12&lt;=Settings!$B$7,"Very close to +1 seat",IF(K12&lt;=Settings!$B$8,"Close to +1 seat",IF(K12&lt;=Settings!$B$9,"Possible +1 seat","Not near a seat"))))</f>
        <v>Possible +1 seat</v>
      </c>
      <c r="P12" s="10" t="n">
        <f aca="false">IF(G12="Yes",COUNTIFS($G$8:$G$14,"Yes",$K$8:$K$14,"&lt;"&amp;K12)+1,"")</f>
        <v>6</v>
      </c>
      <c r="Q12" s="13" t="str">
        <f aca="false">Settings!D18</f>
        <v>Govt</v>
      </c>
    </row>
    <row r="13" customFormat="false" ht="15" hidden="false" customHeight="false" outlineLevel="0" collapsed="false">
      <c r="A13" s="10" t="s">
        <v>49</v>
      </c>
      <c r="B13" s="10" t="s">
        <v>50</v>
      </c>
      <c r="C13" s="11" t="n">
        <f aca="false">IF($C$3="Average",N(Polls!M37),IFERROR(N(INDEX(Polls!M$6:M$35,MATCH($C$3,Polls!$A$6:$A$35,0))),0))</f>
        <v>0.0145</v>
      </c>
      <c r="D13" s="12" t="n">
        <v>0</v>
      </c>
      <c r="E13" s="11" t="n">
        <f aca="false">MAX(0,C13+D13)</f>
        <v>0.0145</v>
      </c>
      <c r="F13" s="13" t="n">
        <f aca="false">Settings!$C$19</f>
        <v>4</v>
      </c>
      <c r="G13" s="10" t="str">
        <f aca="false">IF(Engine!BT288="Next seat","Yes","No")</f>
        <v>Yes</v>
      </c>
      <c r="H13" s="10" t="n">
        <f aca="false">Engine!BL288</f>
        <v>2</v>
      </c>
      <c r="I13" s="10" t="n">
        <f aca="false">Engine!BM288</f>
        <v>4</v>
      </c>
      <c r="J13" s="10" t="n">
        <f aca="false">MAX(0,I13-H13)</f>
        <v>2</v>
      </c>
      <c r="K13" s="14" t="n">
        <f aca="false">Engine!BN288</f>
        <v>0.0227</v>
      </c>
      <c r="L13" s="15" t="n">
        <f aca="false">IF(K13="","",ROUND(K13*Settings!$B$6,-2))</f>
        <v>65800</v>
      </c>
      <c r="M13" s="16" t="n">
        <f aca="false">Engine!BP288</f>
        <v>0</v>
      </c>
      <c r="N13" s="14" t="str">
        <f aca="false">Engine!BO288</f>
        <v>Protected by electorates</v>
      </c>
      <c r="O13" s="10" t="str">
        <f aca="false">IF(G13="No",IF(K13&lt;=Settings!$B$9,"Below 5% but within reach","Below 5% — vote doesn't win a seat"),IF(K13&lt;=Settings!$B$7,"Very close to +1 seat",IF(K13&lt;=Settings!$B$8,"Close to +1 seat",IF(K13&lt;=Settings!$B$9,"Possible +1 seat","Not near a seat"))))</f>
        <v>Not near a seat</v>
      </c>
      <c r="P13" s="10" t="n">
        <f aca="false">IF(G13="Yes",COUNTIFS($G$8:$G$14,"Yes",$K$8:$K$14,"&lt;"&amp;K13)+1,"")</f>
        <v>7</v>
      </c>
      <c r="Q13" s="13" t="str">
        <f aca="false">Settings!D19</f>
        <v>Opposition</v>
      </c>
    </row>
    <row r="14" customFormat="false" ht="15" hidden="false" customHeight="false" outlineLevel="0" collapsed="false">
      <c r="A14" s="10" t="s">
        <v>51</v>
      </c>
      <c r="B14" s="10" t="s">
        <v>52</v>
      </c>
      <c r="C14" s="11" t="n">
        <f aca="false">IF($C$3="Average",N(Polls!N37),IFERROR(N(INDEX(Polls!N$6:N$35,MATCH($C$3,Polls!$A$6:$A$35,0))),0))</f>
        <v>0.0614444444444445</v>
      </c>
      <c r="D14" s="12" t="n">
        <v>0</v>
      </c>
      <c r="E14" s="11" t="n">
        <f aca="false">MAX(0,C14+D14)</f>
        <v>0.0614444444444445</v>
      </c>
      <c r="F14" s="13" t="n">
        <f aca="false">Settings!$C$20</f>
        <v>0</v>
      </c>
      <c r="G14" s="10" t="str">
        <f aca="false">IF(Engine!BT289="Next seat","Yes","No")</f>
        <v>Yes</v>
      </c>
      <c r="H14" s="10" t="n">
        <f aca="false">Engine!BL289</f>
        <v>7</v>
      </c>
      <c r="I14" s="10" t="n">
        <f aca="false">Engine!BM289</f>
        <v>7</v>
      </c>
      <c r="J14" s="10" t="n">
        <f aca="false">MAX(0,I14-H14)</f>
        <v>0</v>
      </c>
      <c r="K14" s="14" t="n">
        <f aca="false">Engine!BN289</f>
        <v>0.000555555555555552</v>
      </c>
      <c r="L14" s="15" t="n">
        <f aca="false">IF(K14="","",ROUND(K14*Settings!$B$6,-2))</f>
        <v>1600</v>
      </c>
      <c r="M14" s="16" t="n">
        <f aca="false">Engine!BP289</f>
        <v>0.932795698924731</v>
      </c>
      <c r="N14" s="14" t="n">
        <f aca="false">Engine!BO289</f>
        <v>0.00776972624798712</v>
      </c>
      <c r="O14" s="10" t="str">
        <f aca="false">IF(G14="No",IF(K14&lt;=Settings!$B$9,"Below 5% but within reach","Below 5% — vote doesn't win a seat"),IF(K14&lt;=Settings!$B$7,"Very close to +1 seat",IF(K14&lt;=Settings!$B$8,"Close to +1 seat",IF(K14&lt;=Settings!$B$9,"Possible +1 seat","Not near a seat"))))</f>
        <v>Very close to +1 seat</v>
      </c>
      <c r="P14" s="10" t="n">
        <f aca="false">IF(G14="Yes",COUNTIFS($G$8:$G$14,"Yes",$K$8:$K$14,"&lt;"&amp;K14)+1,"")</f>
        <v>2</v>
      </c>
      <c r="Q14" s="13" t="str">
        <f aca="false">Settings!D20</f>
        <v>Undeclared</v>
      </c>
    </row>
    <row r="16" customFormat="false" ht="15" hidden="false" customHeight="false" outlineLevel="0" collapsed="false">
      <c r="A16" s="6" t="s">
        <v>53</v>
      </c>
      <c r="I16" s="6" t="n">
        <f aca="false">SUM(I8:I14)+Settings!$B$10</f>
        <v>122</v>
      </c>
      <c r="J16" s="17" t="n">
        <f aca="false">I16-Settings!$B$4</f>
        <v>2</v>
      </c>
    </row>
    <row r="17" customFormat="false" ht="15" hidden="false" customHeight="false" outlineLevel="0" collapsed="false">
      <c r="A17" s="0" t="s">
        <v>54</v>
      </c>
      <c r="I17" s="6" t="n">
        <f aca="false">INT(I16/2)+1</f>
        <v>62</v>
      </c>
    </row>
    <row r="18" customFormat="false" ht="15" hidden="false" customHeight="false" outlineLevel="0" collapsed="false">
      <c r="A18" s="0" t="s">
        <v>55</v>
      </c>
      <c r="I18" s="18" t="n">
        <f aca="false">Settings!$B$10</f>
        <v>0</v>
      </c>
    </row>
    <row r="20" customFormat="false" ht="15" hidden="false" customHeight="false" outlineLevel="0" collapsed="false">
      <c r="A20" s="6" t="s">
        <v>56</v>
      </c>
    </row>
    <row r="21" customFormat="false" ht="15" hidden="false" customHeight="false" outlineLevel="0" collapsed="false">
      <c r="A21" s="0" t="s">
        <v>57</v>
      </c>
      <c r="E21" s="19" t="str">
        <f aca="false">IFERROR(INDEX($A$8:$A$14,MATCH(Engine!E282,$B$8:$B$14,0)),"")</f>
        <v>NZ First</v>
      </c>
    </row>
    <row r="22" customFormat="false" ht="15" hidden="false" customHeight="false" outlineLevel="0" collapsed="false">
      <c r="A22" s="0" t="s">
        <v>58</v>
      </c>
      <c r="E22" s="19" t="str">
        <f aca="false">IFERROR(INDEX($A$8:$A$14,MATCH(Engine!F282,$B$8:$B$14,0)),"")</f>
        <v>National</v>
      </c>
    </row>
    <row r="24" customFormat="false" ht="15" hidden="false" customHeight="false" outlineLevel="0" collapsed="false">
      <c r="A24" s="6" t="s">
        <v>59</v>
      </c>
    </row>
    <row r="25" customFormat="false" ht="15" hidden="false" customHeight="false" outlineLevel="0" collapsed="false">
      <c r="A25" s="9" t="s">
        <v>39</v>
      </c>
      <c r="B25" s="9"/>
      <c r="C25" s="9" t="s">
        <v>60</v>
      </c>
      <c r="D25" s="9" t="s">
        <v>61</v>
      </c>
    </row>
    <row r="26" customFormat="false" ht="15" hidden="false" customHeight="false" outlineLevel="0" collapsed="false">
      <c r="A26" s="0" t="s">
        <v>62</v>
      </c>
      <c r="C26" s="0" t="n">
        <f aca="false">SUMIF($Q$8:$Q$14,A26,$I$8:$I$14)</f>
        <v>59</v>
      </c>
      <c r="D26" s="0" t="str">
        <f aca="false">IF(C26&gt;=$I$17,"Yes","No")</f>
        <v>No</v>
      </c>
    </row>
    <row r="27" customFormat="false" ht="15" hidden="false" customHeight="false" outlineLevel="0" collapsed="false">
      <c r="A27" s="0" t="s">
        <v>63</v>
      </c>
      <c r="C27" s="0" t="n">
        <f aca="false">SUMIF($Q$8:$Q$14,A27,$I$8:$I$14)</f>
        <v>56</v>
      </c>
      <c r="D27" s="0" t="str">
        <f aca="false">IF(C27&gt;=$I$17,"Yes","No")</f>
        <v>No</v>
      </c>
    </row>
    <row r="28" customFormat="false" ht="15" hidden="false" customHeight="false" outlineLevel="0" collapsed="false">
      <c r="A28" s="0" t="s">
        <v>64</v>
      </c>
      <c r="C28" s="0" t="n">
        <f aca="false">SUMIF($Q$8:$Q$14,A28,$I$8:$I$14)</f>
        <v>7</v>
      </c>
      <c r="D28" s="0" t="str">
        <f aca="false">IF(C28&gt;=$I$17,"Yes","No")</f>
        <v>No</v>
      </c>
    </row>
    <row r="29" customFormat="false" ht="15" hidden="false" customHeight="false" outlineLevel="0" collapsed="false">
      <c r="A29" s="8" t="s">
        <v>65</v>
      </c>
    </row>
    <row r="31" customFormat="false" ht="15" hidden="false" customHeight="false" outlineLevel="0" collapsed="false">
      <c r="A31" s="6" t="s">
        <v>66</v>
      </c>
    </row>
    <row r="32" customFormat="false" ht="15" hidden="false" customHeight="false" outlineLevel="0" collapsed="false">
      <c r="A32" s="20" t="s">
        <v>67</v>
      </c>
    </row>
    <row r="33" customFormat="false" ht="15" hidden="false" customHeight="false" outlineLevel="0" collapsed="false">
      <c r="A33" s="20" t="s">
        <v>68</v>
      </c>
    </row>
    <row r="34" customFormat="false" ht="15" hidden="false" customHeight="false" outlineLevel="0" collapsed="false">
      <c r="A34" s="20" t="s">
        <v>69</v>
      </c>
    </row>
    <row r="35" customFormat="false" ht="15" hidden="false" customHeight="false" outlineLevel="0" collapsed="false">
      <c r="A35" s="20" t="s">
        <v>70</v>
      </c>
    </row>
    <row r="36" customFormat="false" ht="15" hidden="false" customHeight="false" outlineLevel="0" collapsed="false">
      <c r="A36" s="20" t="s">
        <v>71</v>
      </c>
    </row>
  </sheetData>
  <conditionalFormatting sqref="K8:K14">
    <cfRule type="cellIs" priority="2" operator="lessThanOrEqual" aboveAverage="0" equalAverage="0" bottom="0" percent="0" rank="0" text="" dxfId="0">
      <formula>Settings!$B$7</formula>
    </cfRule>
    <cfRule type="cellIs" priority="3" operator="between" aboveAverage="0" equalAverage="0" bottom="0" percent="0" rank="0" text="" dxfId="1">
      <formula>Settings!$B$7</formula>
      <formula>Settings!$B$8</formula>
    </cfRule>
  </conditionalFormatting>
  <dataValidations count="1">
    <dataValidation allowBlank="false" errorStyle="stop" operator="between" showDropDown="false" showErrorMessage="false" showInputMessage="false" sqref="C3" type="list">
      <formula1>Settings!$H$4:$H$34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11" min="5" style="0" width="7"/>
    <col collapsed="false" customWidth="true" hidden="false" outlineLevel="0" max="12" min="12" style="0" width="9"/>
    <col collapsed="false" customWidth="true" hidden="false" outlineLevel="0" max="14" min="13" style="0" width="11"/>
    <col collapsed="false" customWidth="true" hidden="false" outlineLevel="0" max="21" min="15" style="0" width="8"/>
  </cols>
  <sheetData>
    <row r="1" customFormat="false" ht="17.35" hidden="false" customHeight="false" outlineLevel="0" collapsed="false">
      <c r="A1" s="5" t="s">
        <v>72</v>
      </c>
    </row>
    <row r="2" customFormat="false" ht="15" hidden="false" customHeight="false" outlineLevel="0" collapsed="false">
      <c r="A2" s="21" t="s">
        <v>73</v>
      </c>
    </row>
    <row r="5" customFormat="false" ht="31.5" hidden="false" customHeight="true" outlineLevel="0" collapsed="false">
      <c r="A5" s="9" t="s">
        <v>74</v>
      </c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81</v>
      </c>
      <c r="I5" s="9" t="s">
        <v>82</v>
      </c>
      <c r="J5" s="9" t="s">
        <v>83</v>
      </c>
      <c r="K5" s="9" t="s">
        <v>84</v>
      </c>
      <c r="L5" s="9" t="s">
        <v>53</v>
      </c>
      <c r="M5" s="9" t="s">
        <v>85</v>
      </c>
      <c r="N5" s="9" t="s">
        <v>86</v>
      </c>
      <c r="O5" s="9" t="s">
        <v>87</v>
      </c>
      <c r="P5" s="9" t="s">
        <v>88</v>
      </c>
      <c r="Q5" s="9" t="s">
        <v>89</v>
      </c>
      <c r="R5" s="9" t="s">
        <v>90</v>
      </c>
      <c r="S5" s="9" t="s">
        <v>91</v>
      </c>
      <c r="T5" s="9" t="s">
        <v>92</v>
      </c>
      <c r="U5" s="9" t="s">
        <v>93</v>
      </c>
    </row>
    <row r="6" customFormat="false" ht="15" hidden="false" customHeight="false" outlineLevel="0" collapsed="false">
      <c r="A6" s="10" t="str">
        <f aca="false">IF(Polls!A6="","",Polls!A6)</f>
        <v>Verian 12 Oct</v>
      </c>
      <c r="B6" s="10" t="str">
        <f aca="false">IF(Polls!B6="","",Polls!B6)</f>
        <v>1News–Verian</v>
      </c>
      <c r="C6" s="22" t="n">
        <f aca="false">IF(Polls!D6="","",Polls!D6)</f>
        <v>46307</v>
      </c>
      <c r="D6" s="10" t="str">
        <f aca="false">IF(Polls!P6="","",Polls!P6)</f>
        <v>Y</v>
      </c>
      <c r="E6" s="10" t="n">
        <f aca="false">IF(Engine!$B$3=1,Engine!BM4,"")</f>
        <v>34</v>
      </c>
      <c r="F6" s="10" t="n">
        <f aca="false">IF(Engine!$B$3=1,Engine!BM5,"")</f>
        <v>34</v>
      </c>
      <c r="G6" s="10" t="n">
        <f aca="false">IF(Engine!$B$3=1,Engine!BM6,"")</f>
        <v>18</v>
      </c>
      <c r="H6" s="10" t="n">
        <f aca="false">IF(Engine!$B$3=1,Engine!BM7,"")</f>
        <v>12</v>
      </c>
      <c r="I6" s="10" t="n">
        <f aca="false">IF(Engine!$B$3=1,Engine!BM8,"")</f>
        <v>12</v>
      </c>
      <c r="J6" s="10" t="n">
        <f aca="false">IF(Engine!$B$3=1,Engine!BM9,"")</f>
        <v>4</v>
      </c>
      <c r="K6" s="10" t="n">
        <f aca="false">IF(Engine!$B$3=1,Engine!BM10,"")</f>
        <v>10</v>
      </c>
      <c r="L6" s="10" t="n">
        <f aca="false">Engine!G3</f>
        <v>124</v>
      </c>
      <c r="M6" s="10" t="str">
        <f aca="false">Engine!E3</f>
        <v>NAT</v>
      </c>
      <c r="N6" s="10" t="str">
        <f aca="false">Engine!F3</f>
        <v>NAT</v>
      </c>
      <c r="O6" s="14" t="n">
        <f aca="false">IF(Engine!$B$3=1,Engine!BN4,"")</f>
        <v>0.00835820895522388</v>
      </c>
      <c r="P6" s="14" t="n">
        <f aca="false">IF(Engine!$B$3=1,Engine!BN5,"")</f>
        <v>0.00835820895522388</v>
      </c>
      <c r="Q6" s="14" t="n">
        <f aca="false">IF(Engine!$B$3=1,Engine!BN6,"")</f>
        <v>0.00462686567164181</v>
      </c>
      <c r="R6" s="14" t="n">
        <f aca="false">IF(Engine!$B$3=1,Engine!BN7,"")</f>
        <v>0.00447761194029851</v>
      </c>
      <c r="S6" s="14" t="n">
        <f aca="false">IF(Engine!$B$3=1,Engine!BN8,"")</f>
        <v>0.00447761194029851</v>
      </c>
      <c r="T6" s="14" t="n">
        <f aca="false">IF(Engine!$B$3=1,Engine!BN9,"")</f>
        <v>0.0336119402985075</v>
      </c>
      <c r="U6" s="14" t="n">
        <f aca="false">IF(Engine!$B$3=1,Engine!BN10,"")</f>
        <v>0.00776119402985076</v>
      </c>
    </row>
    <row r="7" customFormat="false" ht="15" hidden="false" customHeight="false" outlineLevel="0" collapsed="false">
      <c r="A7" s="10" t="str">
        <f aca="false">IF(Polls!A7="","",Polls!A7)</f>
        <v>Curia Oct</v>
      </c>
      <c r="B7" s="10" t="str">
        <f aca="false">IF(Polls!B7="","",Polls!B7)</f>
        <v>Taxpayers' Union–Curia</v>
      </c>
      <c r="C7" s="22" t="n">
        <f aca="false">IF(Polls!D7="","",Polls!D7)</f>
        <v>46300</v>
      </c>
      <c r="D7" s="10" t="str">
        <f aca="false">IF(Polls!P7="","",Polls!P7)</f>
        <v>Y</v>
      </c>
      <c r="E7" s="10" t="n">
        <f aca="false">IF(Engine!$B$12=1,Engine!BM13,"")</f>
        <v>37</v>
      </c>
      <c r="F7" s="10" t="n">
        <f aca="false">IF(Engine!$B$12=1,Engine!BM14,"")</f>
        <v>36</v>
      </c>
      <c r="G7" s="10" t="n">
        <f aca="false">IF(Engine!$B$12=1,Engine!BM15,"")</f>
        <v>17</v>
      </c>
      <c r="H7" s="10" t="n">
        <f aca="false">IF(Engine!$B$12=1,Engine!BM16,"")</f>
        <v>12</v>
      </c>
      <c r="I7" s="10" t="n">
        <f aca="false">IF(Engine!$B$12=1,Engine!BM17,"")</f>
        <v>16</v>
      </c>
      <c r="J7" s="10" t="n">
        <f aca="false">IF(Engine!$B$12=1,Engine!BM18,"")</f>
        <v>4</v>
      </c>
      <c r="K7" s="10" t="n">
        <f aca="false">IF(Engine!$B$12=1,Engine!BM19,"")</f>
        <v>0</v>
      </c>
      <c r="L7" s="10" t="n">
        <f aca="false">Engine!G12</f>
        <v>122</v>
      </c>
      <c r="M7" s="10" t="str">
        <f aca="false">Engine!E12</f>
        <v>NZF</v>
      </c>
      <c r="N7" s="10" t="str">
        <f aca="false">Engine!F12</f>
        <v>LAB</v>
      </c>
      <c r="O7" s="14" t="n">
        <f aca="false">IF(Engine!$B$12=1,Engine!BN13,"")</f>
        <v>0.00532258064516133</v>
      </c>
      <c r="P7" s="14" t="n">
        <f aca="false">IF(Engine!$B$12=1,Engine!BN14,"")</f>
        <v>0.000580645161290361</v>
      </c>
      <c r="Q7" s="14" t="n">
        <f aca="false">IF(Engine!$B$12=1,Engine!BN15,"")</f>
        <v>0.00248387096774194</v>
      </c>
      <c r="R7" s="14" t="n">
        <f aca="false">IF(Engine!$B$12=1,Engine!BN16,"")</f>
        <v>0.0047741935483871</v>
      </c>
      <c r="S7" s="14" t="n">
        <f aca="false">IF(Engine!$B$12=1,Engine!BN17,"")</f>
        <v>0.00774193548387098</v>
      </c>
      <c r="T7" s="14" t="n">
        <f aca="false">IF(Engine!$B$12=1,Engine!BN18,"")</f>
        <v>0.0208387096774194</v>
      </c>
      <c r="U7" s="14" t="n">
        <f aca="false">IF(Engine!$B$12=1,Engine!BN19,"")</f>
        <v>0.002</v>
      </c>
    </row>
    <row r="8" customFormat="false" ht="15" hidden="false" customHeight="false" outlineLevel="0" collapsed="false">
      <c r="A8" s="10" t="str">
        <f aca="false">IF(Polls!A8="","",Polls!A8)</f>
        <v>Verian 5 Oct</v>
      </c>
      <c r="B8" s="10" t="str">
        <f aca="false">IF(Polls!B8="","",Polls!B8)</f>
        <v>1News–Verian</v>
      </c>
      <c r="C8" s="22" t="n">
        <f aca="false">IF(Polls!D8="","",Polls!D8)</f>
        <v>46300</v>
      </c>
      <c r="D8" s="10" t="str">
        <f aca="false">IF(Polls!P8="","",Polls!P8)</f>
        <v>Y</v>
      </c>
      <c r="E8" s="10" t="n">
        <f aca="false">IF(Engine!$B$21=1,Engine!BM22,"")</f>
        <v>35</v>
      </c>
      <c r="F8" s="10" t="n">
        <f aca="false">IF(Engine!$B$21=1,Engine!BM23,"")</f>
        <v>34</v>
      </c>
      <c r="G8" s="10" t="n">
        <f aca="false">IF(Engine!$B$21=1,Engine!BM24,"")</f>
        <v>19</v>
      </c>
      <c r="H8" s="10" t="n">
        <f aca="false">IF(Engine!$B$21=1,Engine!BM25,"")</f>
        <v>11</v>
      </c>
      <c r="I8" s="10" t="n">
        <f aca="false">IF(Engine!$B$21=1,Engine!BM26,"")</f>
        <v>12</v>
      </c>
      <c r="J8" s="10" t="n">
        <f aca="false">IF(Engine!$B$21=1,Engine!BM27,"")</f>
        <v>4</v>
      </c>
      <c r="K8" s="10" t="n">
        <f aca="false">IF(Engine!$B$21=1,Engine!BM28,"")</f>
        <v>8</v>
      </c>
      <c r="L8" s="10" t="n">
        <f aca="false">Engine!G21</f>
        <v>123</v>
      </c>
      <c r="M8" s="10" t="str">
        <f aca="false">Engine!E21</f>
        <v>LAB</v>
      </c>
      <c r="N8" s="10" t="str">
        <f aca="false">Engine!F21</f>
        <v>OPP</v>
      </c>
      <c r="O8" s="14" t="n">
        <f aca="false">IF(Engine!$B$21=1,Engine!BN22,"")</f>
        <v>0.0067164179104478</v>
      </c>
      <c r="P8" s="14" t="n">
        <f aca="false">IF(Engine!$B$21=1,Engine!BN23,"")</f>
        <v>0.00835820895522388</v>
      </c>
      <c r="Q8" s="14" t="n">
        <f aca="false">IF(Engine!$B$21=1,Engine!BN24,"")</f>
        <v>0.00298507462686567</v>
      </c>
      <c r="R8" s="14" t="n">
        <f aca="false">IF(Engine!$B$21=1,Engine!BN25,"")</f>
        <v>0.00611940298507464</v>
      </c>
      <c r="S8" s="14" t="n">
        <f aca="false">IF(Engine!$B$21=1,Engine!BN26,"")</f>
        <v>0.00447761194029851</v>
      </c>
      <c r="T8" s="14" t="n">
        <f aca="false">IF(Engine!$B$21=1,Engine!BN27,"")</f>
        <v>0.0316119402985075</v>
      </c>
      <c r="U8" s="14" t="n">
        <f aca="false">IF(Engine!$B$21=1,Engine!BN28,"")</f>
        <v>0.00104477611940298</v>
      </c>
    </row>
    <row r="9" customFormat="false" ht="15" hidden="false" customHeight="false" outlineLevel="0" collapsed="false">
      <c r="A9" s="10" t="str">
        <f aca="false">IF(Polls!A9="","",Polls!A9)</f>
        <v>Reid Oct</v>
      </c>
      <c r="B9" s="10" t="str">
        <f aca="false">IF(Polls!B9="","",Polls!B9)</f>
        <v>RNZ–Reid Research</v>
      </c>
      <c r="C9" s="22" t="n">
        <f aca="false">IF(Polls!D9="","",Polls!D9)</f>
        <v>46296</v>
      </c>
      <c r="D9" s="10" t="str">
        <f aca="false">IF(Polls!P9="","",Polls!P9)</f>
        <v>Y</v>
      </c>
      <c r="E9" s="10" t="n">
        <f aca="false">IF(Engine!$B$30=1,Engine!BM31,"")</f>
        <v>32</v>
      </c>
      <c r="F9" s="10" t="n">
        <f aca="false">IF(Engine!$B$30=1,Engine!BM32,"")</f>
        <v>37</v>
      </c>
      <c r="G9" s="10" t="n">
        <f aca="false">IF(Engine!$B$30=1,Engine!BM33,"")</f>
        <v>18</v>
      </c>
      <c r="H9" s="10" t="n">
        <f aca="false">IF(Engine!$B$30=1,Engine!BM34,"")</f>
        <v>11</v>
      </c>
      <c r="I9" s="10" t="n">
        <f aca="false">IF(Engine!$B$30=1,Engine!BM35,"")</f>
        <v>13</v>
      </c>
      <c r="J9" s="10" t="n">
        <f aca="false">IF(Engine!$B$30=1,Engine!BM36,"")</f>
        <v>4</v>
      </c>
      <c r="K9" s="10" t="n">
        <f aca="false">IF(Engine!$B$30=1,Engine!BM37,"")</f>
        <v>7</v>
      </c>
      <c r="L9" s="10" t="n">
        <f aca="false">Engine!G30</f>
        <v>122</v>
      </c>
      <c r="M9" s="10" t="str">
        <f aca="false">Engine!E30</f>
        <v>NAT</v>
      </c>
      <c r="N9" s="10" t="str">
        <f aca="false">Engine!F30</f>
        <v>LAB</v>
      </c>
      <c r="O9" s="14" t="n">
        <f aca="false">IF(Engine!$B$30=1,Engine!BN31,"")</f>
        <v>0.00822222222222224</v>
      </c>
      <c r="P9" s="14" t="n">
        <f aca="false">IF(Engine!$B$30=1,Engine!BN32,"")</f>
        <v>0.000333333333333352</v>
      </c>
      <c r="Q9" s="14" t="n">
        <f aca="false">IF(Engine!$B$30=1,Engine!BN33,"")</f>
        <v>0.00411111111111112</v>
      </c>
      <c r="R9" s="14" t="n">
        <f aca="false">IF(Engine!$B$30=1,Engine!BN34,"")</f>
        <v>0.00455555555555556</v>
      </c>
      <c r="S9" s="14" t="n">
        <f aca="false">IF(Engine!$B$30=1,Engine!BN35,"")</f>
        <v>0.005</v>
      </c>
      <c r="T9" s="14" t="n">
        <f aca="false">IF(Engine!$B$30=1,Engine!BN36,"")</f>
        <v>0.0225</v>
      </c>
      <c r="U9" s="14" t="n">
        <f aca="false">IF(Engine!$B$30=1,Engine!BN37,"")</f>
        <v>0.00666666666666667</v>
      </c>
    </row>
    <row r="10" customFormat="false" ht="15" hidden="false" customHeight="false" outlineLevel="0" collapsed="false">
      <c r="A10" s="10" t="str">
        <f aca="false">IF(Polls!A10="","",Polls!A10)</f>
        <v>Verian 27 Sep</v>
      </c>
      <c r="B10" s="10" t="str">
        <f aca="false">IF(Polls!B10="","",Polls!B10)</f>
        <v>1News–Verian</v>
      </c>
      <c r="C10" s="22" t="n">
        <f aca="false">IF(Polls!D10="","",Polls!D10)</f>
        <v>46292</v>
      </c>
      <c r="D10" s="10" t="str">
        <f aca="false">IF(Polls!P10="","",Polls!P10)</f>
        <v>Y</v>
      </c>
      <c r="E10" s="10" t="n">
        <f aca="false">IF(Engine!$B$39=1,Engine!BM40,"")</f>
        <v>34</v>
      </c>
      <c r="F10" s="10" t="n">
        <f aca="false">IF(Engine!$B$39=1,Engine!BM41,"")</f>
        <v>34</v>
      </c>
      <c r="G10" s="10" t="n">
        <f aca="false">IF(Engine!$B$39=1,Engine!BM42,"")</f>
        <v>20</v>
      </c>
      <c r="H10" s="10" t="n">
        <f aca="false">IF(Engine!$B$39=1,Engine!BM43,"")</f>
        <v>13</v>
      </c>
      <c r="I10" s="10" t="n">
        <f aca="false">IF(Engine!$B$39=1,Engine!BM44,"")</f>
        <v>11</v>
      </c>
      <c r="J10" s="10" t="n">
        <f aca="false">IF(Engine!$B$39=1,Engine!BM45,"")</f>
        <v>4</v>
      </c>
      <c r="K10" s="10" t="n">
        <f aca="false">IF(Engine!$B$39=1,Engine!BM46,"")</f>
        <v>7</v>
      </c>
      <c r="L10" s="10" t="n">
        <f aca="false">Engine!G39</f>
        <v>123</v>
      </c>
      <c r="M10" s="10" t="str">
        <f aca="false">Engine!E39</f>
        <v>GRN</v>
      </c>
      <c r="N10" s="10" t="str">
        <f aca="false">Engine!F39</f>
        <v>ACT</v>
      </c>
      <c r="O10" s="14" t="n">
        <f aca="false">IF(Engine!$B$39=1,Engine!BN40,"")</f>
        <v>0.00307692307692303</v>
      </c>
      <c r="P10" s="14" t="n">
        <f aca="false">IF(Engine!$B$39=1,Engine!BN41,"")</f>
        <v>0.00307692307692303</v>
      </c>
      <c r="Q10" s="14" t="n">
        <f aca="false">IF(Engine!$B$39=1,Engine!BN42,"")</f>
        <v>0.0082051282051282</v>
      </c>
      <c r="R10" s="14" t="n">
        <f aca="false">IF(Engine!$B$39=1,Engine!BN43,"")</f>
        <v>0.000769230769230772</v>
      </c>
      <c r="S10" s="14" t="n">
        <f aca="false">IF(Engine!$B$39=1,Engine!BN44,"")</f>
        <v>0.00435897435897437</v>
      </c>
      <c r="T10" s="14" t="n">
        <f aca="false">IF(Engine!$B$39=1,Engine!BN45,"")</f>
        <v>0.0249230769230769</v>
      </c>
      <c r="U10" s="14" t="n">
        <f aca="false">IF(Engine!$B$39=1,Engine!BN46,"")</f>
        <v>0.00153846153846154</v>
      </c>
    </row>
    <row r="11" customFormat="false" ht="15" hidden="false" customHeight="false" outlineLevel="0" collapsed="false">
      <c r="A11" s="10" t="str">
        <f aca="false">IF(Polls!A11="","",Polls!A11)</f>
        <v>Roy Morgan Sep</v>
      </c>
      <c r="B11" s="10" t="str">
        <f aca="false">IF(Polls!B11="","",Polls!B11)</f>
        <v>Roy Morgan</v>
      </c>
      <c r="C11" s="22" t="n">
        <f aca="false">IF(Polls!D11="","",Polls!D11)</f>
        <v>46292</v>
      </c>
      <c r="D11" s="10" t="str">
        <f aca="false">IF(Polls!P11="","",Polls!P11)</f>
        <v>Y</v>
      </c>
      <c r="E11" s="10" t="n">
        <f aca="false">IF(Engine!$B$48=1,Engine!BM49,"")</f>
        <v>38</v>
      </c>
      <c r="F11" s="10" t="n">
        <f aca="false">IF(Engine!$B$48=1,Engine!BM50,"")</f>
        <v>28</v>
      </c>
      <c r="G11" s="10" t="n">
        <f aca="false">IF(Engine!$B$48=1,Engine!BM51,"")</f>
        <v>19</v>
      </c>
      <c r="H11" s="10" t="n">
        <f aca="false">IF(Engine!$B$48=1,Engine!BM52,"")</f>
        <v>13</v>
      </c>
      <c r="I11" s="10" t="n">
        <f aca="false">IF(Engine!$B$48=1,Engine!BM53,"")</f>
        <v>12</v>
      </c>
      <c r="J11" s="10" t="n">
        <f aca="false">IF(Engine!$B$48=1,Engine!BM54,"")</f>
        <v>4</v>
      </c>
      <c r="K11" s="10" t="n">
        <f aca="false">IF(Engine!$B$48=1,Engine!BM55,"")</f>
        <v>8</v>
      </c>
      <c r="L11" s="10" t="n">
        <f aca="false">Engine!G48</f>
        <v>122</v>
      </c>
      <c r="M11" s="10" t="str">
        <f aca="false">Engine!E48</f>
        <v>NAT</v>
      </c>
      <c r="N11" s="10" t="str">
        <f aca="false">Engine!F48</f>
        <v>LAB</v>
      </c>
      <c r="O11" s="14" t="n">
        <f aca="false">IF(Engine!$B$48=1,Engine!BN49,"")</f>
        <v>0.0082666666666667</v>
      </c>
      <c r="P11" s="14" t="n">
        <f aca="false">IF(Engine!$B$48=1,Engine!BN50,"")</f>
        <v>0.000600000000000017</v>
      </c>
      <c r="Q11" s="14" t="n">
        <f aca="false">IF(Engine!$B$48=1,Engine!BN51,"")</f>
        <v>0.00120000000000001</v>
      </c>
      <c r="R11" s="14" t="n">
        <f aca="false">IF(Engine!$B$48=1,Engine!BN52,"")</f>
        <v>0.0016</v>
      </c>
      <c r="S11" s="14" t="n">
        <f aca="false">IF(Engine!$B$48=1,Engine!BN53,"")</f>
        <v>0.00333333333333333</v>
      </c>
      <c r="T11" s="14" t="n">
        <f aca="false">IF(Engine!$B$48=1,Engine!BN54,"")</f>
        <v>0.0172</v>
      </c>
      <c r="U11" s="14" t="n">
        <f aca="false">IF(Engine!$B$48=1,Engine!BN55,"")</f>
        <v>0.00526666666666667</v>
      </c>
    </row>
    <row r="12" customFormat="false" ht="15" hidden="false" customHeight="false" outlineLevel="0" collapsed="false">
      <c r="A12" s="10" t="str">
        <f aca="false">IF(Polls!A12="","",Polls!A12)</f>
        <v>Freshwater Sep</v>
      </c>
      <c r="B12" s="10" t="str">
        <f aca="false">IF(Polls!B12="","",Polls!B12)</f>
        <v>The Post/Freshwater Strategy</v>
      </c>
      <c r="C12" s="22" t="n">
        <f aca="false">IF(Polls!D12="","",Polls!D12)</f>
        <v>46276</v>
      </c>
      <c r="D12" s="10" t="str">
        <f aca="false">IF(Polls!P12="","",Polls!P12)</f>
        <v>Y</v>
      </c>
      <c r="E12" s="10" t="n">
        <f aca="false">IF(Engine!$B$57=1,Engine!BM58,"")</f>
        <v>33</v>
      </c>
      <c r="F12" s="10" t="n">
        <f aca="false">IF(Engine!$B$57=1,Engine!BM59,"")</f>
        <v>34</v>
      </c>
      <c r="G12" s="10" t="n">
        <f aca="false">IF(Engine!$B$57=1,Engine!BM60,"")</f>
        <v>17</v>
      </c>
      <c r="H12" s="10" t="n">
        <f aca="false">IF(Engine!$B$57=1,Engine!BM61,"")</f>
        <v>11</v>
      </c>
      <c r="I12" s="10" t="n">
        <f aca="false">IF(Engine!$B$57=1,Engine!BM62,"")</f>
        <v>16</v>
      </c>
      <c r="J12" s="10" t="n">
        <f aca="false">IF(Engine!$B$57=1,Engine!BM63,"")</f>
        <v>4</v>
      </c>
      <c r="K12" s="10" t="n">
        <f aca="false">IF(Engine!$B$57=1,Engine!BM64,"")</f>
        <v>7</v>
      </c>
      <c r="L12" s="10" t="n">
        <f aca="false">Engine!G57</f>
        <v>122</v>
      </c>
      <c r="M12" s="10" t="str">
        <f aca="false">Engine!E57</f>
        <v>NAT</v>
      </c>
      <c r="N12" s="10" t="str">
        <f aca="false">Engine!F57</f>
        <v>LAB</v>
      </c>
      <c r="O12" s="14" t="n">
        <f aca="false">IF(Engine!$B$57=1,Engine!BN58,"")</f>
        <v>0.00830769230769229</v>
      </c>
      <c r="P12" s="14" t="n">
        <f aca="false">IF(Engine!$B$57=1,Engine!BN59,"")</f>
        <v>0.00661538461538458</v>
      </c>
      <c r="Q12" s="14" t="n">
        <f aca="false">IF(Engine!$B$57=1,Engine!BN60,"")</f>
        <v>0.00538461538461538</v>
      </c>
      <c r="R12" s="14" t="n">
        <f aca="false">IF(Engine!$B$57=1,Engine!BN61,"")</f>
        <v>0.00553846153846155</v>
      </c>
      <c r="S12" s="14" t="n">
        <f aca="false">IF(Engine!$B$57=1,Engine!BN62,"")</f>
        <v>0.00707692307692306</v>
      </c>
      <c r="T12" s="14" t="n">
        <f aca="false">IF(Engine!$B$57=1,Engine!BN63,"")</f>
        <v>0.0173846153846154</v>
      </c>
      <c r="U12" s="14" t="n">
        <f aca="false">IF(Engine!$B$57=1,Engine!BN64,"")</f>
        <v>0.00230769230769231</v>
      </c>
    </row>
    <row r="13" customFormat="false" ht="15" hidden="false" customHeight="false" outlineLevel="0" collapsed="false">
      <c r="A13" s="10" t="str">
        <f aca="false">IF(Polls!A13="","",Polls!A13)</f>
        <v>Anacta Sep</v>
      </c>
      <c r="B13" s="10" t="str">
        <f aca="false">IF(Polls!B13="","",Polls!B13)</f>
        <v>Anacta</v>
      </c>
      <c r="C13" s="22" t="n">
        <f aca="false">IF(Polls!D13="","",Polls!D13)</f>
        <v>46275</v>
      </c>
      <c r="D13" s="10" t="str">
        <f aca="false">IF(Polls!P13="","",Polls!P13)</f>
        <v>Y</v>
      </c>
      <c r="E13" s="10" t="n">
        <f aca="false">IF(Engine!$B$66=1,Engine!BM67,"")</f>
        <v>36</v>
      </c>
      <c r="F13" s="10" t="n">
        <f aca="false">IF(Engine!$B$66=1,Engine!BM68,"")</f>
        <v>37</v>
      </c>
      <c r="G13" s="10" t="n">
        <f aca="false">IF(Engine!$B$66=1,Engine!BM69,"")</f>
        <v>15</v>
      </c>
      <c r="H13" s="10" t="n">
        <f aca="false">IF(Engine!$B$66=1,Engine!BM70,"")</f>
        <v>10</v>
      </c>
      <c r="I13" s="10" t="n">
        <f aca="false">IF(Engine!$B$66=1,Engine!BM71,"")</f>
        <v>12</v>
      </c>
      <c r="J13" s="10" t="n">
        <f aca="false">IF(Engine!$B$66=1,Engine!BM72,"")</f>
        <v>4</v>
      </c>
      <c r="K13" s="10" t="n">
        <f aca="false">IF(Engine!$B$66=1,Engine!BM73,"")</f>
        <v>8</v>
      </c>
      <c r="L13" s="10" t="n">
        <f aca="false">Engine!G66</f>
        <v>122</v>
      </c>
      <c r="M13" s="10" t="str">
        <f aca="false">Engine!E66</f>
        <v>GRN</v>
      </c>
      <c r="N13" s="10" t="str">
        <f aca="false">Engine!F66</f>
        <v>LAB</v>
      </c>
      <c r="O13" s="14" t="n">
        <f aca="false">IF(Engine!$B$66=1,Engine!BN67,"")</f>
        <v>0.00206896551724139</v>
      </c>
      <c r="P13" s="14" t="n">
        <f aca="false">IF(Engine!$B$66=1,Engine!BN68,"")</f>
        <v>0.000344827586206908</v>
      </c>
      <c r="Q13" s="14" t="n">
        <f aca="false">IF(Engine!$B$66=1,Engine!BN69,"")</f>
        <v>0.00827586206896552</v>
      </c>
      <c r="R13" s="14" t="n">
        <f aca="false">IF(Engine!$B$66=1,Engine!BN70,"")</f>
        <v>0.00689655172413793</v>
      </c>
      <c r="S13" s="14" t="n">
        <f aca="false">IF(Engine!$B$66=1,Engine!BN71,"")</f>
        <v>0.00344827586206896</v>
      </c>
      <c r="T13" s="14" t="n">
        <f aca="false">IF(Engine!$B$66=1,Engine!BN72,"")</f>
        <v>0.0172413793103448</v>
      </c>
      <c r="U13" s="14" t="n">
        <f aca="false">IF(Engine!$B$66=1,Engine!BN73,"")</f>
        <v>0.000344827586206894</v>
      </c>
    </row>
    <row r="14" customFormat="false" ht="15" hidden="false" customHeight="false" outlineLevel="0" collapsed="false">
      <c r="A14" s="10" t="str">
        <f aca="false">IF(Polls!A14="","",Polls!A14)</f>
        <v>Curia Sep</v>
      </c>
      <c r="B14" s="10" t="str">
        <f aca="false">IF(Polls!B14="","",Polls!B14)</f>
        <v>Taxpayers' Union–Curia</v>
      </c>
      <c r="C14" s="22" t="n">
        <f aca="false">IF(Polls!D14="","",Polls!D14)</f>
        <v>46268</v>
      </c>
      <c r="D14" s="10" t="str">
        <f aca="false">IF(Polls!P14="","",Polls!P14)</f>
        <v>Y</v>
      </c>
      <c r="E14" s="10" t="n">
        <f aca="false">IF(Engine!$B$75=1,Engine!BM76,"")</f>
        <v>39</v>
      </c>
      <c r="F14" s="10" t="n">
        <f aca="false">IF(Engine!$B$75=1,Engine!BM77,"")</f>
        <v>34</v>
      </c>
      <c r="G14" s="10" t="n">
        <f aca="false">IF(Engine!$B$75=1,Engine!BM78,"")</f>
        <v>19</v>
      </c>
      <c r="H14" s="10" t="n">
        <f aca="false">IF(Engine!$B$75=1,Engine!BM79,"")</f>
        <v>14</v>
      </c>
      <c r="I14" s="10" t="n">
        <f aca="false">IF(Engine!$B$75=1,Engine!BM80,"")</f>
        <v>11</v>
      </c>
      <c r="J14" s="10" t="n">
        <f aca="false">IF(Engine!$B$75=1,Engine!BM81,"")</f>
        <v>4</v>
      </c>
      <c r="K14" s="10" t="n">
        <f aca="false">IF(Engine!$B$75=1,Engine!BM82,"")</f>
        <v>0</v>
      </c>
      <c r="L14" s="10" t="n">
        <f aca="false">Engine!G75</f>
        <v>121</v>
      </c>
      <c r="M14" s="10" t="str">
        <f aca="false">Engine!E75</f>
        <v>GRN</v>
      </c>
      <c r="N14" s="10" t="str">
        <f aca="false">Engine!F75</f>
        <v>LAB</v>
      </c>
      <c r="O14" s="14" t="n">
        <f aca="false">IF(Engine!$B$75=1,Engine!BN76,"")</f>
        <v>0.0067837837837838</v>
      </c>
      <c r="P14" s="14" t="n">
        <f aca="false">IF(Engine!$B$75=1,Engine!BN77,"")</f>
        <v>0.000216216216216203</v>
      </c>
      <c r="Q14" s="14" t="n">
        <f aca="false">IF(Engine!$B$75=1,Engine!BN78,"")</f>
        <v>0.00751351351351351</v>
      </c>
      <c r="R14" s="14" t="n">
        <f aca="false">IF(Engine!$B$75=1,Engine!BN79,"")</f>
        <v>0.00394594594594595</v>
      </c>
      <c r="S14" s="14" t="n">
        <f aca="false">IF(Engine!$B$75=1,Engine!BN80,"")</f>
        <v>0.0024054054054054</v>
      </c>
      <c r="T14" s="14" t="n">
        <f aca="false">IF(Engine!$B$75=1,Engine!BN81,"")</f>
        <v>0.0138108108108108</v>
      </c>
      <c r="U14" s="14" t="n">
        <f aca="false">IF(Engine!$B$75=1,Engine!BN82,"")</f>
        <v>0.005</v>
      </c>
    </row>
    <row r="15" customFormat="false" ht="15" hidden="false" customHeight="false" outlineLevel="0" collapsed="false">
      <c r="A15" s="10" t="str">
        <f aca="false">IF(Polls!A15="","",Polls!A15)</f>
        <v>Roy Morgan Aug</v>
      </c>
      <c r="B15" s="10" t="str">
        <f aca="false">IF(Polls!B15="","",Polls!B15)</f>
        <v>Roy Morgan</v>
      </c>
      <c r="C15" s="22" t="n">
        <f aca="false">IF(Polls!D15="","",Polls!D15)</f>
        <v>46257</v>
      </c>
      <c r="D15" s="10" t="str">
        <f aca="false">IF(Polls!P15="","",Polls!P15)</f>
        <v>N</v>
      </c>
      <c r="E15" s="10" t="n">
        <f aca="false">IF(Engine!$B$84=1,Engine!BM85,"")</f>
        <v>37</v>
      </c>
      <c r="F15" s="10" t="n">
        <f aca="false">IF(Engine!$B$84=1,Engine!BM86,"")</f>
        <v>29</v>
      </c>
      <c r="G15" s="10" t="n">
        <f aca="false">IF(Engine!$B$84=1,Engine!BM87,"")</f>
        <v>19</v>
      </c>
      <c r="H15" s="10" t="n">
        <f aca="false">IF(Engine!$B$84=1,Engine!BM88,"")</f>
        <v>13</v>
      </c>
      <c r="I15" s="10" t="n">
        <f aca="false">IF(Engine!$B$84=1,Engine!BM89,"")</f>
        <v>9</v>
      </c>
      <c r="J15" s="10" t="n">
        <f aca="false">IF(Engine!$B$84=1,Engine!BM90,"")</f>
        <v>4</v>
      </c>
      <c r="K15" s="10" t="n">
        <f aca="false">IF(Engine!$B$84=1,Engine!BM91,"")</f>
        <v>11</v>
      </c>
      <c r="L15" s="10" t="n">
        <f aca="false">Engine!G84</f>
        <v>122</v>
      </c>
      <c r="M15" s="10" t="str">
        <f aca="false">Engine!E84</f>
        <v>GRN</v>
      </c>
      <c r="N15" s="10" t="str">
        <f aca="false">Engine!F84</f>
        <v>NAT</v>
      </c>
      <c r="O15" s="14" t="n">
        <f aca="false">IF(Engine!$B$84=1,Engine!BN85,"")</f>
        <v>0.00418918918918915</v>
      </c>
      <c r="P15" s="14" t="n">
        <f aca="false">IF(Engine!$B$84=1,Engine!BN86,"")</f>
        <v>0.00716216216216214</v>
      </c>
      <c r="Q15" s="14" t="n">
        <f aca="false">IF(Engine!$B$84=1,Engine!BN87,"")</f>
        <v>0.00837837837837838</v>
      </c>
      <c r="R15" s="14" t="n">
        <f aca="false">IF(Engine!$B$84=1,Engine!BN88,"")</f>
        <v>0.00810810810810811</v>
      </c>
      <c r="S15" s="14" t="n">
        <f aca="false">IF(Engine!$B$84=1,Engine!BN89,"")</f>
        <v>0.00459459459459459</v>
      </c>
      <c r="T15" s="14" t="n">
        <f aca="false">IF(Engine!$B$84=1,Engine!BN90,"")</f>
        <v>0.0227027027027027</v>
      </c>
      <c r="U15" s="14" t="n">
        <f aca="false">IF(Engine!$B$84=1,Engine!BN91,"")</f>
        <v>0.00135135135135134</v>
      </c>
    </row>
    <row r="16" customFormat="false" ht="15" hidden="false" customHeight="false" outlineLevel="0" collapsed="false">
      <c r="A16" s="10" t="str">
        <f aca="false">IF(Polls!A16="","",Polls!A16)</f>
        <v>Reid Aug</v>
      </c>
      <c r="B16" s="10" t="str">
        <f aca="false">IF(Polls!B16="","",Polls!B16)</f>
        <v>RNZ–Reid Research</v>
      </c>
      <c r="C16" s="22" t="n">
        <f aca="false">IF(Polls!D16="","",Polls!D16)</f>
        <v>46255</v>
      </c>
      <c r="D16" s="10" t="str">
        <f aca="false">IF(Polls!P16="","",Polls!P16)</f>
        <v>N</v>
      </c>
      <c r="E16" s="10" t="n">
        <f aca="false">IF(Engine!$B$93=1,Engine!BM94,"")</f>
        <v>35</v>
      </c>
      <c r="F16" s="10" t="n">
        <f aca="false">IF(Engine!$B$93=1,Engine!BM95,"")</f>
        <v>39</v>
      </c>
      <c r="G16" s="10" t="n">
        <f aca="false">IF(Engine!$B$93=1,Engine!BM96,"")</f>
        <v>12</v>
      </c>
      <c r="H16" s="10" t="n">
        <f aca="false">IF(Engine!$B$93=1,Engine!BM97,"")</f>
        <v>9</v>
      </c>
      <c r="I16" s="10" t="n">
        <f aca="false">IF(Engine!$B$93=1,Engine!BM98,"")</f>
        <v>15</v>
      </c>
      <c r="J16" s="10" t="n">
        <f aca="false">IF(Engine!$B$93=1,Engine!BM99,"")</f>
        <v>4</v>
      </c>
      <c r="K16" s="10" t="n">
        <f aca="false">IF(Engine!$B$93=1,Engine!BM100,"")</f>
        <v>6</v>
      </c>
      <c r="L16" s="10" t="n">
        <f aca="false">Engine!G93</f>
        <v>120</v>
      </c>
      <c r="M16" s="10" t="str">
        <f aca="false">Engine!E93</f>
        <v>NZF</v>
      </c>
      <c r="N16" s="10" t="str">
        <f aca="false">Engine!F93</f>
        <v>NAT</v>
      </c>
      <c r="O16" s="14" t="n">
        <f aca="false">IF(Engine!$B$93=1,Engine!BN94,"")</f>
        <v>0.000344827586206853</v>
      </c>
      <c r="P16" s="14" t="n">
        <f aca="false">IF(Engine!$B$93=1,Engine!BN95,"")</f>
        <v>0.0021724137931034</v>
      </c>
      <c r="Q16" s="14" t="n">
        <f aca="false">IF(Engine!$B$93=1,Engine!BN96,"")</f>
        <v>0.000586206896551714</v>
      </c>
      <c r="R16" s="14" t="n">
        <f aca="false">IF(Engine!$B$93=1,Engine!BN97,"")</f>
        <v>0.000965517241379305</v>
      </c>
      <c r="S16" s="14" t="n">
        <f aca="false">IF(Engine!$B$93=1,Engine!BN98,"")</f>
        <v>0.00820689655172413</v>
      </c>
      <c r="T16" s="14" t="n">
        <f aca="false">IF(Engine!$B$93=1,Engine!BN99,"")</f>
        <v>0.00693103448275861</v>
      </c>
      <c r="U16" s="14" t="n">
        <f aca="false">IF(Engine!$B$93=1,Engine!BN100,"")</f>
        <v>0.000344827586206888</v>
      </c>
    </row>
    <row r="17" customFormat="false" ht="15" hidden="false" customHeight="false" outlineLevel="0" collapsed="false">
      <c r="A17" s="10" t="str">
        <f aca="false">IF(Polls!A17="","",Polls!A17)</f>
        <v>Verian Aug</v>
      </c>
      <c r="B17" s="10" t="str">
        <f aca="false">IF(Polls!B17="","",Polls!B17)</f>
        <v>1News–Verian</v>
      </c>
      <c r="C17" s="22" t="n">
        <f aca="false">IF(Polls!D17="","",Polls!D17)</f>
        <v>46245</v>
      </c>
      <c r="D17" s="10" t="str">
        <f aca="false">IF(Polls!P17="","",Polls!P17)</f>
        <v>N</v>
      </c>
      <c r="E17" s="10" t="n">
        <f aca="false">IF(Engine!$B$102=1,Engine!BM103,"")</f>
        <v>36</v>
      </c>
      <c r="F17" s="10" t="n">
        <f aca="false">IF(Engine!$B$102=1,Engine!BM104,"")</f>
        <v>37</v>
      </c>
      <c r="G17" s="10" t="n">
        <f aca="false">IF(Engine!$B$102=1,Engine!BM105,"")</f>
        <v>15</v>
      </c>
      <c r="H17" s="10" t="n">
        <f aca="false">IF(Engine!$B$102=1,Engine!BM106,"")</f>
        <v>11</v>
      </c>
      <c r="I17" s="10" t="n">
        <f aca="false">IF(Engine!$B$102=1,Engine!BM107,"")</f>
        <v>10</v>
      </c>
      <c r="J17" s="10" t="n">
        <f aca="false">IF(Engine!$B$102=1,Engine!BM108,"")</f>
        <v>4</v>
      </c>
      <c r="K17" s="10" t="n">
        <f aca="false">IF(Engine!$B$102=1,Engine!BM109,"")</f>
        <v>10</v>
      </c>
      <c r="L17" s="10" t="n">
        <f aca="false">Engine!G102</f>
        <v>123</v>
      </c>
      <c r="M17" s="10" t="str">
        <f aca="false">Engine!E102</f>
        <v>NAT</v>
      </c>
      <c r="N17" s="10" t="str">
        <f aca="false">Engine!F102</f>
        <v>LAB</v>
      </c>
      <c r="O17" s="14" t="n">
        <f aca="false">IF(Engine!$B$102=1,Engine!BN103,"")</f>
        <v>0.00816901408450704</v>
      </c>
      <c r="P17" s="14" t="n">
        <f aca="false">IF(Engine!$B$102=1,Engine!BN104,"")</f>
        <v>0.00633802816901413</v>
      </c>
      <c r="Q17" s="14" t="n">
        <f aca="false">IF(Engine!$B$102=1,Engine!BN105,"")</f>
        <v>0.00661971830985916</v>
      </c>
      <c r="R17" s="14" t="n">
        <f aca="false">IF(Engine!$B$102=1,Engine!BN106,"")</f>
        <v>0.00394366197183099</v>
      </c>
      <c r="S17" s="14" t="n">
        <f aca="false">IF(Engine!$B$102=1,Engine!BN107,"")</f>
        <v>0.00577464788732394</v>
      </c>
      <c r="T17" s="14" t="n">
        <f aca="false">IF(Engine!$B$102=1,Engine!BN108,"")</f>
        <v>0.0257605633802817</v>
      </c>
      <c r="U17" s="14" t="n">
        <f aca="false">IF(Engine!$B$102=1,Engine!BN109,"")</f>
        <v>0.00577464788732394</v>
      </c>
    </row>
    <row r="18" customFormat="false" ht="15" hidden="false" customHeight="false" outlineLevel="0" collapsed="false">
      <c r="A18" s="10" t="str">
        <f aca="false">IF(Polls!A18="","",Polls!A18)</f>
        <v>Talbot Mills Aug</v>
      </c>
      <c r="B18" s="10" t="str">
        <f aca="false">IF(Polls!B18="","",Polls!B18)</f>
        <v>Talbot Mills</v>
      </c>
      <c r="C18" s="22" t="n">
        <f aca="false">IF(Polls!D18="","",Polls!D18)</f>
        <v>46245</v>
      </c>
      <c r="D18" s="10" t="str">
        <f aca="false">IF(Polls!P18="","",Polls!P18)</f>
        <v>N</v>
      </c>
      <c r="E18" s="10" t="n">
        <f aca="false">IF(Engine!$B$111=1,Engine!BM112,"")</f>
        <v>35</v>
      </c>
      <c r="F18" s="10" t="n">
        <f aca="false">IF(Engine!$B$111=1,Engine!BM113,"")</f>
        <v>41</v>
      </c>
      <c r="G18" s="10" t="n">
        <f aca="false">IF(Engine!$B$111=1,Engine!BM114,"")</f>
        <v>10</v>
      </c>
      <c r="H18" s="10" t="n">
        <f aca="false">IF(Engine!$B$111=1,Engine!BM115,"")</f>
        <v>8</v>
      </c>
      <c r="I18" s="10" t="n">
        <f aca="false">IF(Engine!$B$111=1,Engine!BM116,"")</f>
        <v>16</v>
      </c>
      <c r="J18" s="10" t="n">
        <f aca="false">IF(Engine!$B$111=1,Engine!BM117,"")</f>
        <v>4</v>
      </c>
      <c r="K18" s="10" t="n">
        <f aca="false">IF(Engine!$B$111=1,Engine!BM118,"")</f>
        <v>6</v>
      </c>
      <c r="L18" s="10" t="n">
        <f aca="false">Engine!G111</f>
        <v>120</v>
      </c>
      <c r="M18" s="10" t="str">
        <f aca="false">Engine!E111</f>
        <v>NZF</v>
      </c>
      <c r="N18" s="10" t="str">
        <f aca="false">Engine!F111</f>
        <v>ACT</v>
      </c>
      <c r="O18" s="14" t="n">
        <f aca="false">IF(Engine!$B$111=1,Engine!BN112,"")</f>
        <v>0.00774193548387098</v>
      </c>
      <c r="P18" s="14" t="n">
        <f aca="false">IF(Engine!$B$111=1,Engine!BN113,"")</f>
        <v>0.0080645161290322</v>
      </c>
      <c r="Q18" s="14" t="n">
        <f aca="false">IF(Engine!$B$111=1,Engine!BN114,"")</f>
        <v>0.00806451612903225</v>
      </c>
      <c r="R18" s="14" t="n">
        <f aca="false">IF(Engine!$B$111=1,Engine!BN115,"")</f>
        <v>0.00129032258064515</v>
      </c>
      <c r="S18" s="14" t="n">
        <f aca="false">IF(Engine!$B$111=1,Engine!BN116,"")</f>
        <v>0.00838709677419353</v>
      </c>
      <c r="T18" s="14" t="n">
        <f aca="false">IF(Engine!$B$111=1,Engine!BN117,"")</f>
        <v>0.00774193548387097</v>
      </c>
      <c r="U18" s="14" t="n">
        <f aca="false">IF(Engine!$B$111=1,Engine!BN118,"")</f>
        <v>0.00251612903225806</v>
      </c>
    </row>
    <row r="19" customFormat="false" ht="15" hidden="false" customHeight="false" outlineLevel="0" collapsed="false">
      <c r="A19" s="10" t="str">
        <f aca="false">IF(Polls!A19="","",Polls!A19)</f>
        <v>Curia Aug</v>
      </c>
      <c r="B19" s="10" t="str">
        <f aca="false">IF(Polls!B19="","",Polls!B19)</f>
        <v>Taxpayers' Union–Curia</v>
      </c>
      <c r="C19" s="22" t="n">
        <f aca="false">IF(Polls!D19="","",Polls!D19)</f>
        <v>46238</v>
      </c>
      <c r="D19" s="10" t="str">
        <f aca="false">IF(Polls!P19="","",Polls!P19)</f>
        <v>N</v>
      </c>
      <c r="E19" s="10" t="n">
        <f aca="false">IF(Engine!$B$120=1,Engine!BM121,"")</f>
        <v>40</v>
      </c>
      <c r="F19" s="10" t="n">
        <f aca="false">IF(Engine!$B$120=1,Engine!BM122,"")</f>
        <v>36</v>
      </c>
      <c r="G19" s="10" t="n">
        <f aca="false">IF(Engine!$B$120=1,Engine!BM123,"")</f>
        <v>13</v>
      </c>
      <c r="H19" s="10" t="n">
        <f aca="false">IF(Engine!$B$120=1,Engine!BM124,"")</f>
        <v>9</v>
      </c>
      <c r="I19" s="10" t="n">
        <f aca="false">IF(Engine!$B$120=1,Engine!BM125,"")</f>
        <v>12</v>
      </c>
      <c r="J19" s="10" t="n">
        <f aca="false">IF(Engine!$B$120=1,Engine!BM126,"")</f>
        <v>4</v>
      </c>
      <c r="K19" s="10" t="n">
        <f aca="false">IF(Engine!$B$120=1,Engine!BM127,"")</f>
        <v>8</v>
      </c>
      <c r="L19" s="10" t="n">
        <f aca="false">Engine!G120</f>
        <v>122</v>
      </c>
      <c r="M19" s="10" t="str">
        <f aca="false">Engine!E120</f>
        <v>LAB</v>
      </c>
      <c r="N19" s="10" t="str">
        <f aca="false">Engine!F120</f>
        <v>ACT</v>
      </c>
      <c r="O19" s="14" t="n">
        <f aca="false">IF(Engine!$B$120=1,Engine!BN121,"")</f>
        <v>0.00715492957746478</v>
      </c>
      <c r="P19" s="14" t="n">
        <f aca="false">IF(Engine!$B$120=1,Engine!BN122,"")</f>
        <v>0.00783098591549292</v>
      </c>
      <c r="Q19" s="14" t="n">
        <f aca="false">IF(Engine!$B$120=1,Engine!BN123,"")</f>
        <v>0.00471830985915492</v>
      </c>
      <c r="R19" s="14" t="n">
        <f aca="false">IF(Engine!$B$120=1,Engine!BN124,"")</f>
        <v>0.0013943661971831</v>
      </c>
      <c r="S19" s="14" t="n">
        <f aca="false">IF(Engine!$B$120=1,Engine!BN125,"")</f>
        <v>0.00688732394366198</v>
      </c>
      <c r="T19" s="14" t="n">
        <f aca="false">IF(Engine!$B$120=1,Engine!BN126,"")</f>
        <v>0.0202394366197183</v>
      </c>
      <c r="U19" s="14" t="n">
        <f aca="false">IF(Engine!$B$120=1,Engine!BN127,"")</f>
        <v>0.00556338028169015</v>
      </c>
    </row>
    <row r="20" customFormat="false" ht="15" hidden="false" customHeight="false" outlineLevel="0" collapsed="false">
      <c r="A20" s="10" t="str">
        <f aca="false">IF(Polls!A20="","",Polls!A20)</f>
        <v/>
      </c>
      <c r="B20" s="10" t="str">
        <f aca="false">IF(Polls!B20="","",Polls!B20)</f>
        <v/>
      </c>
      <c r="C20" s="22" t="str">
        <f aca="false">IF(Polls!D20="","",Polls!D20)</f>
        <v/>
      </c>
      <c r="D20" s="10" t="str">
        <f aca="false">IF(Polls!P20="","",Polls!P20)</f>
        <v/>
      </c>
      <c r="E20" s="10" t="n">
        <f aca="false">IF(Engine!$B$129=1,Engine!BM130,"")</f>
        <v>34</v>
      </c>
      <c r="F20" s="10" t="n">
        <f aca="false">IF(Engine!$B$129=1,Engine!BM131,"")</f>
        <v>34</v>
      </c>
      <c r="G20" s="10" t="n">
        <f aca="false">IF(Engine!$B$129=1,Engine!BM132,"")</f>
        <v>18</v>
      </c>
      <c r="H20" s="10" t="n">
        <f aca="false">IF(Engine!$B$129=1,Engine!BM133,"")</f>
        <v>12</v>
      </c>
      <c r="I20" s="10" t="n">
        <f aca="false">IF(Engine!$B$129=1,Engine!BM134,"")</f>
        <v>13</v>
      </c>
      <c r="J20" s="10" t="n">
        <f aca="false">IF(Engine!$B$129=1,Engine!BM135,"")</f>
        <v>4</v>
      </c>
      <c r="K20" s="10" t="n">
        <f aca="false">IF(Engine!$B$129=1,Engine!BM136,"")</f>
        <v>7</v>
      </c>
      <c r="L20" s="10" t="n">
        <f aca="false">Engine!G129</f>
        <v>122</v>
      </c>
      <c r="M20" s="10" t="str">
        <f aca="false">Engine!E129</f>
        <v>NZF</v>
      </c>
      <c r="N20" s="10" t="str">
        <f aca="false">Engine!F129</f>
        <v>NAT</v>
      </c>
      <c r="O20" s="14" t="n">
        <f aca="false">IF(Engine!$B$129=1,Engine!BN130,"")</f>
        <v>0.000311111111111095</v>
      </c>
      <c r="P20" s="14" t="n">
        <f aca="false">IF(Engine!$B$129=1,Engine!BN131,"")</f>
        <v>0.00586666666666663</v>
      </c>
      <c r="Q20" s="14" t="n">
        <f aca="false">IF(Engine!$B$129=1,Engine!BN132,"")</f>
        <v>0.00737777777777779</v>
      </c>
      <c r="R20" s="14" t="n">
        <f aca="false">IF(Engine!$B$129=1,Engine!BN133,"")</f>
        <v>0.00700000000000001</v>
      </c>
      <c r="S20" s="14" t="n">
        <f aca="false">IF(Engine!$B$129=1,Engine!BN134,"")</f>
        <v>0.00826666666666667</v>
      </c>
      <c r="T20" s="14" t="n">
        <f aca="false">IF(Engine!$B$129=1,Engine!BN135,"")</f>
        <v>0.0227</v>
      </c>
      <c r="U20" s="14" t="n">
        <f aca="false">IF(Engine!$B$129=1,Engine!BN136,"")</f>
        <v>0.000555555555555552</v>
      </c>
    </row>
    <row r="21" customFormat="false" ht="15" hidden="false" customHeight="false" outlineLevel="0" collapsed="false">
      <c r="A21" s="10" t="str">
        <f aca="false">IF(Polls!A21="","",Polls!A21)</f>
        <v/>
      </c>
      <c r="B21" s="10" t="str">
        <f aca="false">IF(Polls!B21="","",Polls!B21)</f>
        <v/>
      </c>
      <c r="C21" s="22" t="str">
        <f aca="false">IF(Polls!D21="","",Polls!D21)</f>
        <v/>
      </c>
      <c r="D21" s="10" t="str">
        <f aca="false">IF(Polls!P21="","",Polls!P21)</f>
        <v/>
      </c>
      <c r="E21" s="10" t="n">
        <f aca="false">IF(Engine!$B$138=1,Engine!BM139,"")</f>
        <v>34</v>
      </c>
      <c r="F21" s="10" t="n">
        <f aca="false">IF(Engine!$B$138=1,Engine!BM140,"")</f>
        <v>34</v>
      </c>
      <c r="G21" s="10" t="n">
        <f aca="false">IF(Engine!$B$138=1,Engine!BM141,"")</f>
        <v>18</v>
      </c>
      <c r="H21" s="10" t="n">
        <f aca="false">IF(Engine!$B$138=1,Engine!BM142,"")</f>
        <v>12</v>
      </c>
      <c r="I21" s="10" t="n">
        <f aca="false">IF(Engine!$B$138=1,Engine!BM143,"")</f>
        <v>13</v>
      </c>
      <c r="J21" s="10" t="n">
        <f aca="false">IF(Engine!$B$138=1,Engine!BM144,"")</f>
        <v>4</v>
      </c>
      <c r="K21" s="10" t="n">
        <f aca="false">IF(Engine!$B$138=1,Engine!BM145,"")</f>
        <v>7</v>
      </c>
      <c r="L21" s="10" t="n">
        <f aca="false">Engine!G138</f>
        <v>122</v>
      </c>
      <c r="M21" s="10" t="str">
        <f aca="false">Engine!E138</f>
        <v>NZF</v>
      </c>
      <c r="N21" s="10" t="str">
        <f aca="false">Engine!F138</f>
        <v>NAT</v>
      </c>
      <c r="O21" s="14" t="n">
        <f aca="false">IF(Engine!$B$138=1,Engine!BN139,"")</f>
        <v>0.000311111111111095</v>
      </c>
      <c r="P21" s="14" t="n">
        <f aca="false">IF(Engine!$B$138=1,Engine!BN140,"")</f>
        <v>0.00586666666666663</v>
      </c>
      <c r="Q21" s="14" t="n">
        <f aca="false">IF(Engine!$B$138=1,Engine!BN141,"")</f>
        <v>0.00737777777777779</v>
      </c>
      <c r="R21" s="14" t="n">
        <f aca="false">IF(Engine!$B$138=1,Engine!BN142,"")</f>
        <v>0.00700000000000001</v>
      </c>
      <c r="S21" s="14" t="n">
        <f aca="false">IF(Engine!$B$138=1,Engine!BN143,"")</f>
        <v>0.00826666666666667</v>
      </c>
      <c r="T21" s="14" t="n">
        <f aca="false">IF(Engine!$B$138=1,Engine!BN144,"")</f>
        <v>0.0227</v>
      </c>
      <c r="U21" s="14" t="n">
        <f aca="false">IF(Engine!$B$138=1,Engine!BN145,"")</f>
        <v>0.000555555555555552</v>
      </c>
    </row>
    <row r="22" customFormat="false" ht="15" hidden="false" customHeight="false" outlineLevel="0" collapsed="false">
      <c r="A22" s="10" t="str">
        <f aca="false">IF(Polls!A22="","",Polls!A22)</f>
        <v/>
      </c>
      <c r="B22" s="10" t="str">
        <f aca="false">IF(Polls!B22="","",Polls!B22)</f>
        <v/>
      </c>
      <c r="C22" s="22" t="str">
        <f aca="false">IF(Polls!D22="","",Polls!D22)</f>
        <v/>
      </c>
      <c r="D22" s="10" t="str">
        <f aca="false">IF(Polls!P22="","",Polls!P22)</f>
        <v/>
      </c>
      <c r="E22" s="10" t="n">
        <f aca="false">IF(Engine!$B$147=1,Engine!BM148,"")</f>
        <v>34</v>
      </c>
      <c r="F22" s="10" t="n">
        <f aca="false">IF(Engine!$B$147=1,Engine!BM149,"")</f>
        <v>34</v>
      </c>
      <c r="G22" s="10" t="n">
        <f aca="false">IF(Engine!$B$147=1,Engine!BM150,"")</f>
        <v>18</v>
      </c>
      <c r="H22" s="10" t="n">
        <f aca="false">IF(Engine!$B$147=1,Engine!BM151,"")</f>
        <v>12</v>
      </c>
      <c r="I22" s="10" t="n">
        <f aca="false">IF(Engine!$B$147=1,Engine!BM152,"")</f>
        <v>13</v>
      </c>
      <c r="J22" s="10" t="n">
        <f aca="false">IF(Engine!$B$147=1,Engine!BM153,"")</f>
        <v>4</v>
      </c>
      <c r="K22" s="10" t="n">
        <f aca="false">IF(Engine!$B$147=1,Engine!BM154,"")</f>
        <v>7</v>
      </c>
      <c r="L22" s="10" t="n">
        <f aca="false">Engine!G147</f>
        <v>122</v>
      </c>
      <c r="M22" s="10" t="str">
        <f aca="false">Engine!E147</f>
        <v>NZF</v>
      </c>
      <c r="N22" s="10" t="str">
        <f aca="false">Engine!F147</f>
        <v>NAT</v>
      </c>
      <c r="O22" s="14" t="n">
        <f aca="false">IF(Engine!$B$147=1,Engine!BN148,"")</f>
        <v>0.000311111111111095</v>
      </c>
      <c r="P22" s="14" t="n">
        <f aca="false">IF(Engine!$B$147=1,Engine!BN149,"")</f>
        <v>0.00586666666666663</v>
      </c>
      <c r="Q22" s="14" t="n">
        <f aca="false">IF(Engine!$B$147=1,Engine!BN150,"")</f>
        <v>0.00737777777777779</v>
      </c>
      <c r="R22" s="14" t="n">
        <f aca="false">IF(Engine!$B$147=1,Engine!BN151,"")</f>
        <v>0.00700000000000001</v>
      </c>
      <c r="S22" s="14" t="n">
        <f aca="false">IF(Engine!$B$147=1,Engine!BN152,"")</f>
        <v>0.00826666666666667</v>
      </c>
      <c r="T22" s="14" t="n">
        <f aca="false">IF(Engine!$B$147=1,Engine!BN153,"")</f>
        <v>0.0227</v>
      </c>
      <c r="U22" s="14" t="n">
        <f aca="false">IF(Engine!$B$147=1,Engine!BN154,"")</f>
        <v>0.000555555555555552</v>
      </c>
    </row>
    <row r="23" customFormat="false" ht="15" hidden="false" customHeight="false" outlineLevel="0" collapsed="false">
      <c r="A23" s="10" t="str">
        <f aca="false">IF(Polls!A23="","",Polls!A23)</f>
        <v/>
      </c>
      <c r="B23" s="10" t="str">
        <f aca="false">IF(Polls!B23="","",Polls!B23)</f>
        <v/>
      </c>
      <c r="C23" s="22" t="str">
        <f aca="false">IF(Polls!D23="","",Polls!D23)</f>
        <v/>
      </c>
      <c r="D23" s="10" t="str">
        <f aca="false">IF(Polls!P23="","",Polls!P23)</f>
        <v/>
      </c>
      <c r="E23" s="10" t="n">
        <f aca="false">IF(Engine!$B$156=1,Engine!BM157,"")</f>
        <v>34</v>
      </c>
      <c r="F23" s="10" t="n">
        <f aca="false">IF(Engine!$B$156=1,Engine!BM158,"")</f>
        <v>34</v>
      </c>
      <c r="G23" s="10" t="n">
        <f aca="false">IF(Engine!$B$156=1,Engine!BM159,"")</f>
        <v>18</v>
      </c>
      <c r="H23" s="10" t="n">
        <f aca="false">IF(Engine!$B$156=1,Engine!BM160,"")</f>
        <v>12</v>
      </c>
      <c r="I23" s="10" t="n">
        <f aca="false">IF(Engine!$B$156=1,Engine!BM161,"")</f>
        <v>13</v>
      </c>
      <c r="J23" s="10" t="n">
        <f aca="false">IF(Engine!$B$156=1,Engine!BM162,"")</f>
        <v>4</v>
      </c>
      <c r="K23" s="10" t="n">
        <f aca="false">IF(Engine!$B$156=1,Engine!BM163,"")</f>
        <v>7</v>
      </c>
      <c r="L23" s="10" t="n">
        <f aca="false">Engine!G156</f>
        <v>122</v>
      </c>
      <c r="M23" s="10" t="str">
        <f aca="false">Engine!E156</f>
        <v>NZF</v>
      </c>
      <c r="N23" s="10" t="str">
        <f aca="false">Engine!F156</f>
        <v>NAT</v>
      </c>
      <c r="O23" s="14" t="n">
        <f aca="false">IF(Engine!$B$156=1,Engine!BN157,"")</f>
        <v>0.000311111111111095</v>
      </c>
      <c r="P23" s="14" t="n">
        <f aca="false">IF(Engine!$B$156=1,Engine!BN158,"")</f>
        <v>0.00586666666666663</v>
      </c>
      <c r="Q23" s="14" t="n">
        <f aca="false">IF(Engine!$B$156=1,Engine!BN159,"")</f>
        <v>0.00737777777777779</v>
      </c>
      <c r="R23" s="14" t="n">
        <f aca="false">IF(Engine!$B$156=1,Engine!BN160,"")</f>
        <v>0.00700000000000001</v>
      </c>
      <c r="S23" s="14" t="n">
        <f aca="false">IF(Engine!$B$156=1,Engine!BN161,"")</f>
        <v>0.00826666666666667</v>
      </c>
      <c r="T23" s="14" t="n">
        <f aca="false">IF(Engine!$B$156=1,Engine!BN162,"")</f>
        <v>0.0227</v>
      </c>
      <c r="U23" s="14" t="n">
        <f aca="false">IF(Engine!$B$156=1,Engine!BN163,"")</f>
        <v>0.000555555555555552</v>
      </c>
    </row>
    <row r="24" customFormat="false" ht="15" hidden="false" customHeight="false" outlineLevel="0" collapsed="false">
      <c r="A24" s="10" t="str">
        <f aca="false">IF(Polls!A24="","",Polls!A24)</f>
        <v/>
      </c>
      <c r="B24" s="10" t="str">
        <f aca="false">IF(Polls!B24="","",Polls!B24)</f>
        <v/>
      </c>
      <c r="C24" s="22" t="str">
        <f aca="false">IF(Polls!D24="","",Polls!D24)</f>
        <v/>
      </c>
      <c r="D24" s="10" t="str">
        <f aca="false">IF(Polls!P24="","",Polls!P24)</f>
        <v/>
      </c>
      <c r="E24" s="10" t="n">
        <f aca="false">IF(Engine!$B$165=1,Engine!BM166,"")</f>
        <v>34</v>
      </c>
      <c r="F24" s="10" t="n">
        <f aca="false">IF(Engine!$B$165=1,Engine!BM167,"")</f>
        <v>34</v>
      </c>
      <c r="G24" s="10" t="n">
        <f aca="false">IF(Engine!$B$165=1,Engine!BM168,"")</f>
        <v>18</v>
      </c>
      <c r="H24" s="10" t="n">
        <f aca="false">IF(Engine!$B$165=1,Engine!BM169,"")</f>
        <v>12</v>
      </c>
      <c r="I24" s="10" t="n">
        <f aca="false">IF(Engine!$B$165=1,Engine!BM170,"")</f>
        <v>13</v>
      </c>
      <c r="J24" s="10" t="n">
        <f aca="false">IF(Engine!$B$165=1,Engine!BM171,"")</f>
        <v>4</v>
      </c>
      <c r="K24" s="10" t="n">
        <f aca="false">IF(Engine!$B$165=1,Engine!BM172,"")</f>
        <v>7</v>
      </c>
      <c r="L24" s="10" t="n">
        <f aca="false">Engine!G165</f>
        <v>122</v>
      </c>
      <c r="M24" s="10" t="str">
        <f aca="false">Engine!E165</f>
        <v>NZF</v>
      </c>
      <c r="N24" s="10" t="str">
        <f aca="false">Engine!F165</f>
        <v>NAT</v>
      </c>
      <c r="O24" s="14" t="n">
        <f aca="false">IF(Engine!$B$165=1,Engine!BN166,"")</f>
        <v>0.000311111111111095</v>
      </c>
      <c r="P24" s="14" t="n">
        <f aca="false">IF(Engine!$B$165=1,Engine!BN167,"")</f>
        <v>0.00586666666666663</v>
      </c>
      <c r="Q24" s="14" t="n">
        <f aca="false">IF(Engine!$B$165=1,Engine!BN168,"")</f>
        <v>0.00737777777777779</v>
      </c>
      <c r="R24" s="14" t="n">
        <f aca="false">IF(Engine!$B$165=1,Engine!BN169,"")</f>
        <v>0.00700000000000001</v>
      </c>
      <c r="S24" s="14" t="n">
        <f aca="false">IF(Engine!$B$165=1,Engine!BN170,"")</f>
        <v>0.00826666666666667</v>
      </c>
      <c r="T24" s="14" t="n">
        <f aca="false">IF(Engine!$B$165=1,Engine!BN171,"")</f>
        <v>0.0227</v>
      </c>
      <c r="U24" s="14" t="n">
        <f aca="false">IF(Engine!$B$165=1,Engine!BN172,"")</f>
        <v>0.000555555555555552</v>
      </c>
    </row>
    <row r="25" customFormat="false" ht="15" hidden="false" customHeight="false" outlineLevel="0" collapsed="false">
      <c r="A25" s="10" t="str">
        <f aca="false">IF(Polls!A25="","",Polls!A25)</f>
        <v/>
      </c>
      <c r="B25" s="10" t="str">
        <f aca="false">IF(Polls!B25="","",Polls!B25)</f>
        <v/>
      </c>
      <c r="C25" s="22" t="str">
        <f aca="false">IF(Polls!D25="","",Polls!D25)</f>
        <v/>
      </c>
      <c r="D25" s="10" t="str">
        <f aca="false">IF(Polls!P25="","",Polls!P25)</f>
        <v/>
      </c>
      <c r="E25" s="10" t="n">
        <f aca="false">IF(Engine!$B$174=1,Engine!BM175,"")</f>
        <v>34</v>
      </c>
      <c r="F25" s="10" t="n">
        <f aca="false">IF(Engine!$B$174=1,Engine!BM176,"")</f>
        <v>34</v>
      </c>
      <c r="G25" s="10" t="n">
        <f aca="false">IF(Engine!$B$174=1,Engine!BM177,"")</f>
        <v>18</v>
      </c>
      <c r="H25" s="10" t="n">
        <f aca="false">IF(Engine!$B$174=1,Engine!BM178,"")</f>
        <v>12</v>
      </c>
      <c r="I25" s="10" t="n">
        <f aca="false">IF(Engine!$B$174=1,Engine!BM179,"")</f>
        <v>13</v>
      </c>
      <c r="J25" s="10" t="n">
        <f aca="false">IF(Engine!$B$174=1,Engine!BM180,"")</f>
        <v>4</v>
      </c>
      <c r="K25" s="10" t="n">
        <f aca="false">IF(Engine!$B$174=1,Engine!BM181,"")</f>
        <v>7</v>
      </c>
      <c r="L25" s="10" t="n">
        <f aca="false">Engine!G174</f>
        <v>122</v>
      </c>
      <c r="M25" s="10" t="str">
        <f aca="false">Engine!E174</f>
        <v>NZF</v>
      </c>
      <c r="N25" s="10" t="str">
        <f aca="false">Engine!F174</f>
        <v>NAT</v>
      </c>
      <c r="O25" s="14" t="n">
        <f aca="false">IF(Engine!$B$174=1,Engine!BN175,"")</f>
        <v>0.000311111111111095</v>
      </c>
      <c r="P25" s="14" t="n">
        <f aca="false">IF(Engine!$B$174=1,Engine!BN176,"")</f>
        <v>0.00586666666666663</v>
      </c>
      <c r="Q25" s="14" t="n">
        <f aca="false">IF(Engine!$B$174=1,Engine!BN177,"")</f>
        <v>0.00737777777777779</v>
      </c>
      <c r="R25" s="14" t="n">
        <f aca="false">IF(Engine!$B$174=1,Engine!BN178,"")</f>
        <v>0.00700000000000001</v>
      </c>
      <c r="S25" s="14" t="n">
        <f aca="false">IF(Engine!$B$174=1,Engine!BN179,"")</f>
        <v>0.00826666666666667</v>
      </c>
      <c r="T25" s="14" t="n">
        <f aca="false">IF(Engine!$B$174=1,Engine!BN180,"")</f>
        <v>0.0227</v>
      </c>
      <c r="U25" s="14" t="n">
        <f aca="false">IF(Engine!$B$174=1,Engine!BN181,"")</f>
        <v>0.000555555555555552</v>
      </c>
    </row>
    <row r="26" customFormat="false" ht="15" hidden="false" customHeight="false" outlineLevel="0" collapsed="false">
      <c r="A26" s="10" t="str">
        <f aca="false">IF(Polls!A26="","",Polls!A26)</f>
        <v/>
      </c>
      <c r="B26" s="10" t="str">
        <f aca="false">IF(Polls!B26="","",Polls!B26)</f>
        <v/>
      </c>
      <c r="C26" s="22" t="str">
        <f aca="false">IF(Polls!D26="","",Polls!D26)</f>
        <v/>
      </c>
      <c r="D26" s="10" t="str">
        <f aca="false">IF(Polls!P26="","",Polls!P26)</f>
        <v/>
      </c>
      <c r="E26" s="10" t="n">
        <f aca="false">IF(Engine!$B$183=1,Engine!BM184,"")</f>
        <v>34</v>
      </c>
      <c r="F26" s="10" t="n">
        <f aca="false">IF(Engine!$B$183=1,Engine!BM185,"")</f>
        <v>34</v>
      </c>
      <c r="G26" s="10" t="n">
        <f aca="false">IF(Engine!$B$183=1,Engine!BM186,"")</f>
        <v>18</v>
      </c>
      <c r="H26" s="10" t="n">
        <f aca="false">IF(Engine!$B$183=1,Engine!BM187,"")</f>
        <v>12</v>
      </c>
      <c r="I26" s="10" t="n">
        <f aca="false">IF(Engine!$B$183=1,Engine!BM188,"")</f>
        <v>13</v>
      </c>
      <c r="J26" s="10" t="n">
        <f aca="false">IF(Engine!$B$183=1,Engine!BM189,"")</f>
        <v>4</v>
      </c>
      <c r="K26" s="10" t="n">
        <f aca="false">IF(Engine!$B$183=1,Engine!BM190,"")</f>
        <v>7</v>
      </c>
      <c r="L26" s="10" t="n">
        <f aca="false">Engine!G183</f>
        <v>122</v>
      </c>
      <c r="M26" s="10" t="str">
        <f aca="false">Engine!E183</f>
        <v>NZF</v>
      </c>
      <c r="N26" s="10" t="str">
        <f aca="false">Engine!F183</f>
        <v>NAT</v>
      </c>
      <c r="O26" s="14" t="n">
        <f aca="false">IF(Engine!$B$183=1,Engine!BN184,"")</f>
        <v>0.000311111111111095</v>
      </c>
      <c r="P26" s="14" t="n">
        <f aca="false">IF(Engine!$B$183=1,Engine!BN185,"")</f>
        <v>0.00586666666666663</v>
      </c>
      <c r="Q26" s="14" t="n">
        <f aca="false">IF(Engine!$B$183=1,Engine!BN186,"")</f>
        <v>0.00737777777777779</v>
      </c>
      <c r="R26" s="14" t="n">
        <f aca="false">IF(Engine!$B$183=1,Engine!BN187,"")</f>
        <v>0.00700000000000001</v>
      </c>
      <c r="S26" s="14" t="n">
        <f aca="false">IF(Engine!$B$183=1,Engine!BN188,"")</f>
        <v>0.00826666666666667</v>
      </c>
      <c r="T26" s="14" t="n">
        <f aca="false">IF(Engine!$B$183=1,Engine!BN189,"")</f>
        <v>0.0227</v>
      </c>
      <c r="U26" s="14" t="n">
        <f aca="false">IF(Engine!$B$183=1,Engine!BN190,"")</f>
        <v>0.000555555555555552</v>
      </c>
    </row>
    <row r="27" customFormat="false" ht="15" hidden="false" customHeight="false" outlineLevel="0" collapsed="false">
      <c r="A27" s="10" t="str">
        <f aca="false">IF(Polls!A27="","",Polls!A27)</f>
        <v/>
      </c>
      <c r="B27" s="10" t="str">
        <f aca="false">IF(Polls!B27="","",Polls!B27)</f>
        <v/>
      </c>
      <c r="C27" s="22" t="str">
        <f aca="false">IF(Polls!D27="","",Polls!D27)</f>
        <v/>
      </c>
      <c r="D27" s="10" t="str">
        <f aca="false">IF(Polls!P27="","",Polls!P27)</f>
        <v/>
      </c>
      <c r="E27" s="10" t="n">
        <f aca="false">IF(Engine!$B$192=1,Engine!BM193,"")</f>
        <v>34</v>
      </c>
      <c r="F27" s="10" t="n">
        <f aca="false">IF(Engine!$B$192=1,Engine!BM194,"")</f>
        <v>34</v>
      </c>
      <c r="G27" s="10" t="n">
        <f aca="false">IF(Engine!$B$192=1,Engine!BM195,"")</f>
        <v>18</v>
      </c>
      <c r="H27" s="10" t="n">
        <f aca="false">IF(Engine!$B$192=1,Engine!BM196,"")</f>
        <v>12</v>
      </c>
      <c r="I27" s="10" t="n">
        <f aca="false">IF(Engine!$B$192=1,Engine!BM197,"")</f>
        <v>13</v>
      </c>
      <c r="J27" s="10" t="n">
        <f aca="false">IF(Engine!$B$192=1,Engine!BM198,"")</f>
        <v>4</v>
      </c>
      <c r="K27" s="10" t="n">
        <f aca="false">IF(Engine!$B$192=1,Engine!BM199,"")</f>
        <v>7</v>
      </c>
      <c r="L27" s="10" t="n">
        <f aca="false">Engine!G192</f>
        <v>122</v>
      </c>
      <c r="M27" s="10" t="str">
        <f aca="false">Engine!E192</f>
        <v>NZF</v>
      </c>
      <c r="N27" s="10" t="str">
        <f aca="false">Engine!F192</f>
        <v>NAT</v>
      </c>
      <c r="O27" s="14" t="n">
        <f aca="false">IF(Engine!$B$192=1,Engine!BN193,"")</f>
        <v>0.000311111111111095</v>
      </c>
      <c r="P27" s="14" t="n">
        <f aca="false">IF(Engine!$B$192=1,Engine!BN194,"")</f>
        <v>0.00586666666666663</v>
      </c>
      <c r="Q27" s="14" t="n">
        <f aca="false">IF(Engine!$B$192=1,Engine!BN195,"")</f>
        <v>0.00737777777777779</v>
      </c>
      <c r="R27" s="14" t="n">
        <f aca="false">IF(Engine!$B$192=1,Engine!BN196,"")</f>
        <v>0.00700000000000001</v>
      </c>
      <c r="S27" s="14" t="n">
        <f aca="false">IF(Engine!$B$192=1,Engine!BN197,"")</f>
        <v>0.00826666666666667</v>
      </c>
      <c r="T27" s="14" t="n">
        <f aca="false">IF(Engine!$B$192=1,Engine!BN198,"")</f>
        <v>0.0227</v>
      </c>
      <c r="U27" s="14" t="n">
        <f aca="false">IF(Engine!$B$192=1,Engine!BN199,"")</f>
        <v>0.000555555555555552</v>
      </c>
    </row>
    <row r="28" customFormat="false" ht="15" hidden="false" customHeight="false" outlineLevel="0" collapsed="false">
      <c r="A28" s="10" t="str">
        <f aca="false">IF(Polls!A28="","",Polls!A28)</f>
        <v/>
      </c>
      <c r="B28" s="10" t="str">
        <f aca="false">IF(Polls!B28="","",Polls!B28)</f>
        <v/>
      </c>
      <c r="C28" s="22" t="str">
        <f aca="false">IF(Polls!D28="","",Polls!D28)</f>
        <v/>
      </c>
      <c r="D28" s="10" t="str">
        <f aca="false">IF(Polls!P28="","",Polls!P28)</f>
        <v/>
      </c>
      <c r="E28" s="10" t="n">
        <f aca="false">IF(Engine!$B$201=1,Engine!BM202,"")</f>
        <v>34</v>
      </c>
      <c r="F28" s="10" t="n">
        <f aca="false">IF(Engine!$B$201=1,Engine!BM203,"")</f>
        <v>34</v>
      </c>
      <c r="G28" s="10" t="n">
        <f aca="false">IF(Engine!$B$201=1,Engine!BM204,"")</f>
        <v>18</v>
      </c>
      <c r="H28" s="10" t="n">
        <f aca="false">IF(Engine!$B$201=1,Engine!BM205,"")</f>
        <v>12</v>
      </c>
      <c r="I28" s="10" t="n">
        <f aca="false">IF(Engine!$B$201=1,Engine!BM206,"")</f>
        <v>13</v>
      </c>
      <c r="J28" s="10" t="n">
        <f aca="false">IF(Engine!$B$201=1,Engine!BM207,"")</f>
        <v>4</v>
      </c>
      <c r="K28" s="10" t="n">
        <f aca="false">IF(Engine!$B$201=1,Engine!BM208,"")</f>
        <v>7</v>
      </c>
      <c r="L28" s="10" t="n">
        <f aca="false">Engine!G201</f>
        <v>122</v>
      </c>
      <c r="M28" s="10" t="str">
        <f aca="false">Engine!E201</f>
        <v>NZF</v>
      </c>
      <c r="N28" s="10" t="str">
        <f aca="false">Engine!F201</f>
        <v>NAT</v>
      </c>
      <c r="O28" s="14" t="n">
        <f aca="false">IF(Engine!$B$201=1,Engine!BN202,"")</f>
        <v>0.000311111111111095</v>
      </c>
      <c r="P28" s="14" t="n">
        <f aca="false">IF(Engine!$B$201=1,Engine!BN203,"")</f>
        <v>0.00586666666666663</v>
      </c>
      <c r="Q28" s="14" t="n">
        <f aca="false">IF(Engine!$B$201=1,Engine!BN204,"")</f>
        <v>0.00737777777777779</v>
      </c>
      <c r="R28" s="14" t="n">
        <f aca="false">IF(Engine!$B$201=1,Engine!BN205,"")</f>
        <v>0.00700000000000001</v>
      </c>
      <c r="S28" s="14" t="n">
        <f aca="false">IF(Engine!$B$201=1,Engine!BN206,"")</f>
        <v>0.00826666666666667</v>
      </c>
      <c r="T28" s="14" t="n">
        <f aca="false">IF(Engine!$B$201=1,Engine!BN207,"")</f>
        <v>0.0227</v>
      </c>
      <c r="U28" s="14" t="n">
        <f aca="false">IF(Engine!$B$201=1,Engine!BN208,"")</f>
        <v>0.000555555555555552</v>
      </c>
    </row>
    <row r="29" customFormat="false" ht="15" hidden="false" customHeight="false" outlineLevel="0" collapsed="false">
      <c r="A29" s="10" t="str">
        <f aca="false">IF(Polls!A29="","",Polls!A29)</f>
        <v/>
      </c>
      <c r="B29" s="10" t="str">
        <f aca="false">IF(Polls!B29="","",Polls!B29)</f>
        <v/>
      </c>
      <c r="C29" s="22" t="str">
        <f aca="false">IF(Polls!D29="","",Polls!D29)</f>
        <v/>
      </c>
      <c r="D29" s="10" t="str">
        <f aca="false">IF(Polls!P29="","",Polls!P29)</f>
        <v/>
      </c>
      <c r="E29" s="10" t="n">
        <f aca="false">IF(Engine!$B$210=1,Engine!BM211,"")</f>
        <v>34</v>
      </c>
      <c r="F29" s="10" t="n">
        <f aca="false">IF(Engine!$B$210=1,Engine!BM212,"")</f>
        <v>34</v>
      </c>
      <c r="G29" s="10" t="n">
        <f aca="false">IF(Engine!$B$210=1,Engine!BM213,"")</f>
        <v>18</v>
      </c>
      <c r="H29" s="10" t="n">
        <f aca="false">IF(Engine!$B$210=1,Engine!BM214,"")</f>
        <v>12</v>
      </c>
      <c r="I29" s="10" t="n">
        <f aca="false">IF(Engine!$B$210=1,Engine!BM215,"")</f>
        <v>13</v>
      </c>
      <c r="J29" s="10" t="n">
        <f aca="false">IF(Engine!$B$210=1,Engine!BM216,"")</f>
        <v>4</v>
      </c>
      <c r="K29" s="10" t="n">
        <f aca="false">IF(Engine!$B$210=1,Engine!BM217,"")</f>
        <v>7</v>
      </c>
      <c r="L29" s="10" t="n">
        <f aca="false">Engine!G210</f>
        <v>122</v>
      </c>
      <c r="M29" s="10" t="str">
        <f aca="false">Engine!E210</f>
        <v>NZF</v>
      </c>
      <c r="N29" s="10" t="str">
        <f aca="false">Engine!F210</f>
        <v>NAT</v>
      </c>
      <c r="O29" s="14" t="n">
        <f aca="false">IF(Engine!$B$210=1,Engine!BN211,"")</f>
        <v>0.000311111111111095</v>
      </c>
      <c r="P29" s="14" t="n">
        <f aca="false">IF(Engine!$B$210=1,Engine!BN212,"")</f>
        <v>0.00586666666666663</v>
      </c>
      <c r="Q29" s="14" t="n">
        <f aca="false">IF(Engine!$B$210=1,Engine!BN213,"")</f>
        <v>0.00737777777777779</v>
      </c>
      <c r="R29" s="14" t="n">
        <f aca="false">IF(Engine!$B$210=1,Engine!BN214,"")</f>
        <v>0.00700000000000001</v>
      </c>
      <c r="S29" s="14" t="n">
        <f aca="false">IF(Engine!$B$210=1,Engine!BN215,"")</f>
        <v>0.00826666666666667</v>
      </c>
      <c r="T29" s="14" t="n">
        <f aca="false">IF(Engine!$B$210=1,Engine!BN216,"")</f>
        <v>0.0227</v>
      </c>
      <c r="U29" s="14" t="n">
        <f aca="false">IF(Engine!$B$210=1,Engine!BN217,"")</f>
        <v>0.000555555555555552</v>
      </c>
    </row>
    <row r="30" customFormat="false" ht="15" hidden="false" customHeight="false" outlineLevel="0" collapsed="false">
      <c r="A30" s="10" t="str">
        <f aca="false">IF(Polls!A30="","",Polls!A30)</f>
        <v/>
      </c>
      <c r="B30" s="10" t="str">
        <f aca="false">IF(Polls!B30="","",Polls!B30)</f>
        <v/>
      </c>
      <c r="C30" s="22" t="str">
        <f aca="false">IF(Polls!D30="","",Polls!D30)</f>
        <v/>
      </c>
      <c r="D30" s="10" t="str">
        <f aca="false">IF(Polls!P30="","",Polls!P30)</f>
        <v/>
      </c>
      <c r="E30" s="10" t="n">
        <f aca="false">IF(Engine!$B$219=1,Engine!BM220,"")</f>
        <v>34</v>
      </c>
      <c r="F30" s="10" t="n">
        <f aca="false">IF(Engine!$B$219=1,Engine!BM221,"")</f>
        <v>34</v>
      </c>
      <c r="G30" s="10" t="n">
        <f aca="false">IF(Engine!$B$219=1,Engine!BM222,"")</f>
        <v>18</v>
      </c>
      <c r="H30" s="10" t="n">
        <f aca="false">IF(Engine!$B$219=1,Engine!BM223,"")</f>
        <v>12</v>
      </c>
      <c r="I30" s="10" t="n">
        <f aca="false">IF(Engine!$B$219=1,Engine!BM224,"")</f>
        <v>13</v>
      </c>
      <c r="J30" s="10" t="n">
        <f aca="false">IF(Engine!$B$219=1,Engine!BM225,"")</f>
        <v>4</v>
      </c>
      <c r="K30" s="10" t="n">
        <f aca="false">IF(Engine!$B$219=1,Engine!BM226,"")</f>
        <v>7</v>
      </c>
      <c r="L30" s="10" t="n">
        <f aca="false">Engine!G219</f>
        <v>122</v>
      </c>
      <c r="M30" s="10" t="str">
        <f aca="false">Engine!E219</f>
        <v>NZF</v>
      </c>
      <c r="N30" s="10" t="str">
        <f aca="false">Engine!F219</f>
        <v>NAT</v>
      </c>
      <c r="O30" s="14" t="n">
        <f aca="false">IF(Engine!$B$219=1,Engine!BN220,"")</f>
        <v>0.000311111111111095</v>
      </c>
      <c r="P30" s="14" t="n">
        <f aca="false">IF(Engine!$B$219=1,Engine!BN221,"")</f>
        <v>0.00586666666666663</v>
      </c>
      <c r="Q30" s="14" t="n">
        <f aca="false">IF(Engine!$B$219=1,Engine!BN222,"")</f>
        <v>0.00737777777777779</v>
      </c>
      <c r="R30" s="14" t="n">
        <f aca="false">IF(Engine!$B$219=1,Engine!BN223,"")</f>
        <v>0.00700000000000001</v>
      </c>
      <c r="S30" s="14" t="n">
        <f aca="false">IF(Engine!$B$219=1,Engine!BN224,"")</f>
        <v>0.00826666666666667</v>
      </c>
      <c r="T30" s="14" t="n">
        <f aca="false">IF(Engine!$B$219=1,Engine!BN225,"")</f>
        <v>0.0227</v>
      </c>
      <c r="U30" s="14" t="n">
        <f aca="false">IF(Engine!$B$219=1,Engine!BN226,"")</f>
        <v>0.000555555555555552</v>
      </c>
    </row>
    <row r="31" customFormat="false" ht="15" hidden="false" customHeight="false" outlineLevel="0" collapsed="false">
      <c r="A31" s="10" t="str">
        <f aca="false">IF(Polls!A31="","",Polls!A31)</f>
        <v/>
      </c>
      <c r="B31" s="10" t="str">
        <f aca="false">IF(Polls!B31="","",Polls!B31)</f>
        <v/>
      </c>
      <c r="C31" s="22" t="str">
        <f aca="false">IF(Polls!D31="","",Polls!D31)</f>
        <v/>
      </c>
      <c r="D31" s="10" t="str">
        <f aca="false">IF(Polls!P31="","",Polls!P31)</f>
        <v/>
      </c>
      <c r="E31" s="10" t="n">
        <f aca="false">IF(Engine!$B$228=1,Engine!BM229,"")</f>
        <v>34</v>
      </c>
      <c r="F31" s="10" t="n">
        <f aca="false">IF(Engine!$B$228=1,Engine!BM230,"")</f>
        <v>34</v>
      </c>
      <c r="G31" s="10" t="n">
        <f aca="false">IF(Engine!$B$228=1,Engine!BM231,"")</f>
        <v>18</v>
      </c>
      <c r="H31" s="10" t="n">
        <f aca="false">IF(Engine!$B$228=1,Engine!BM232,"")</f>
        <v>12</v>
      </c>
      <c r="I31" s="10" t="n">
        <f aca="false">IF(Engine!$B$228=1,Engine!BM233,"")</f>
        <v>13</v>
      </c>
      <c r="J31" s="10" t="n">
        <f aca="false">IF(Engine!$B$228=1,Engine!BM234,"")</f>
        <v>4</v>
      </c>
      <c r="K31" s="10" t="n">
        <f aca="false">IF(Engine!$B$228=1,Engine!BM235,"")</f>
        <v>7</v>
      </c>
      <c r="L31" s="10" t="n">
        <f aca="false">Engine!G228</f>
        <v>122</v>
      </c>
      <c r="M31" s="10" t="str">
        <f aca="false">Engine!E228</f>
        <v>NZF</v>
      </c>
      <c r="N31" s="10" t="str">
        <f aca="false">Engine!F228</f>
        <v>NAT</v>
      </c>
      <c r="O31" s="14" t="n">
        <f aca="false">IF(Engine!$B$228=1,Engine!BN229,"")</f>
        <v>0.000311111111111095</v>
      </c>
      <c r="P31" s="14" t="n">
        <f aca="false">IF(Engine!$B$228=1,Engine!BN230,"")</f>
        <v>0.00586666666666663</v>
      </c>
      <c r="Q31" s="14" t="n">
        <f aca="false">IF(Engine!$B$228=1,Engine!BN231,"")</f>
        <v>0.00737777777777779</v>
      </c>
      <c r="R31" s="14" t="n">
        <f aca="false">IF(Engine!$B$228=1,Engine!BN232,"")</f>
        <v>0.00700000000000001</v>
      </c>
      <c r="S31" s="14" t="n">
        <f aca="false">IF(Engine!$B$228=1,Engine!BN233,"")</f>
        <v>0.00826666666666667</v>
      </c>
      <c r="T31" s="14" t="n">
        <f aca="false">IF(Engine!$B$228=1,Engine!BN234,"")</f>
        <v>0.0227</v>
      </c>
      <c r="U31" s="14" t="n">
        <f aca="false">IF(Engine!$B$228=1,Engine!BN235,"")</f>
        <v>0.000555555555555552</v>
      </c>
    </row>
    <row r="32" customFormat="false" ht="15" hidden="false" customHeight="false" outlineLevel="0" collapsed="false">
      <c r="A32" s="10" t="str">
        <f aca="false">IF(Polls!A32="","",Polls!A32)</f>
        <v/>
      </c>
      <c r="B32" s="10" t="str">
        <f aca="false">IF(Polls!B32="","",Polls!B32)</f>
        <v/>
      </c>
      <c r="C32" s="22" t="str">
        <f aca="false">IF(Polls!D32="","",Polls!D32)</f>
        <v/>
      </c>
      <c r="D32" s="10" t="str">
        <f aca="false">IF(Polls!P32="","",Polls!P32)</f>
        <v/>
      </c>
      <c r="E32" s="10" t="n">
        <f aca="false">IF(Engine!$B$237=1,Engine!BM238,"")</f>
        <v>34</v>
      </c>
      <c r="F32" s="10" t="n">
        <f aca="false">IF(Engine!$B$237=1,Engine!BM239,"")</f>
        <v>34</v>
      </c>
      <c r="G32" s="10" t="n">
        <f aca="false">IF(Engine!$B$237=1,Engine!BM240,"")</f>
        <v>18</v>
      </c>
      <c r="H32" s="10" t="n">
        <f aca="false">IF(Engine!$B$237=1,Engine!BM241,"")</f>
        <v>12</v>
      </c>
      <c r="I32" s="10" t="n">
        <f aca="false">IF(Engine!$B$237=1,Engine!BM242,"")</f>
        <v>13</v>
      </c>
      <c r="J32" s="10" t="n">
        <f aca="false">IF(Engine!$B$237=1,Engine!BM243,"")</f>
        <v>4</v>
      </c>
      <c r="K32" s="10" t="n">
        <f aca="false">IF(Engine!$B$237=1,Engine!BM244,"")</f>
        <v>7</v>
      </c>
      <c r="L32" s="10" t="n">
        <f aca="false">Engine!G237</f>
        <v>122</v>
      </c>
      <c r="M32" s="10" t="str">
        <f aca="false">Engine!E237</f>
        <v>NZF</v>
      </c>
      <c r="N32" s="10" t="str">
        <f aca="false">Engine!F237</f>
        <v>NAT</v>
      </c>
      <c r="O32" s="14" t="n">
        <f aca="false">IF(Engine!$B$237=1,Engine!BN238,"")</f>
        <v>0.000311111111111095</v>
      </c>
      <c r="P32" s="14" t="n">
        <f aca="false">IF(Engine!$B$237=1,Engine!BN239,"")</f>
        <v>0.00586666666666663</v>
      </c>
      <c r="Q32" s="14" t="n">
        <f aca="false">IF(Engine!$B$237=1,Engine!BN240,"")</f>
        <v>0.00737777777777779</v>
      </c>
      <c r="R32" s="14" t="n">
        <f aca="false">IF(Engine!$B$237=1,Engine!BN241,"")</f>
        <v>0.00700000000000001</v>
      </c>
      <c r="S32" s="14" t="n">
        <f aca="false">IF(Engine!$B$237=1,Engine!BN242,"")</f>
        <v>0.00826666666666667</v>
      </c>
      <c r="T32" s="14" t="n">
        <f aca="false">IF(Engine!$B$237=1,Engine!BN243,"")</f>
        <v>0.0227</v>
      </c>
      <c r="U32" s="14" t="n">
        <f aca="false">IF(Engine!$B$237=1,Engine!BN244,"")</f>
        <v>0.000555555555555552</v>
      </c>
    </row>
    <row r="33" customFormat="false" ht="15" hidden="false" customHeight="false" outlineLevel="0" collapsed="false">
      <c r="A33" s="10" t="str">
        <f aca="false">IF(Polls!A33="","",Polls!A33)</f>
        <v/>
      </c>
      <c r="B33" s="10" t="str">
        <f aca="false">IF(Polls!B33="","",Polls!B33)</f>
        <v/>
      </c>
      <c r="C33" s="22" t="str">
        <f aca="false">IF(Polls!D33="","",Polls!D33)</f>
        <v/>
      </c>
      <c r="D33" s="10" t="str">
        <f aca="false">IF(Polls!P33="","",Polls!P33)</f>
        <v/>
      </c>
      <c r="E33" s="10" t="n">
        <f aca="false">IF(Engine!$B$246=1,Engine!BM247,"")</f>
        <v>34</v>
      </c>
      <c r="F33" s="10" t="n">
        <f aca="false">IF(Engine!$B$246=1,Engine!BM248,"")</f>
        <v>34</v>
      </c>
      <c r="G33" s="10" t="n">
        <f aca="false">IF(Engine!$B$246=1,Engine!BM249,"")</f>
        <v>18</v>
      </c>
      <c r="H33" s="10" t="n">
        <f aca="false">IF(Engine!$B$246=1,Engine!BM250,"")</f>
        <v>12</v>
      </c>
      <c r="I33" s="10" t="n">
        <f aca="false">IF(Engine!$B$246=1,Engine!BM251,"")</f>
        <v>13</v>
      </c>
      <c r="J33" s="10" t="n">
        <f aca="false">IF(Engine!$B$246=1,Engine!BM252,"")</f>
        <v>4</v>
      </c>
      <c r="K33" s="10" t="n">
        <f aca="false">IF(Engine!$B$246=1,Engine!BM253,"")</f>
        <v>7</v>
      </c>
      <c r="L33" s="10" t="n">
        <f aca="false">Engine!G246</f>
        <v>122</v>
      </c>
      <c r="M33" s="10" t="str">
        <f aca="false">Engine!E246</f>
        <v>NZF</v>
      </c>
      <c r="N33" s="10" t="str">
        <f aca="false">Engine!F246</f>
        <v>NAT</v>
      </c>
      <c r="O33" s="14" t="n">
        <f aca="false">IF(Engine!$B$246=1,Engine!BN247,"")</f>
        <v>0.000311111111111095</v>
      </c>
      <c r="P33" s="14" t="n">
        <f aca="false">IF(Engine!$B$246=1,Engine!BN248,"")</f>
        <v>0.00586666666666663</v>
      </c>
      <c r="Q33" s="14" t="n">
        <f aca="false">IF(Engine!$B$246=1,Engine!BN249,"")</f>
        <v>0.00737777777777779</v>
      </c>
      <c r="R33" s="14" t="n">
        <f aca="false">IF(Engine!$B$246=1,Engine!BN250,"")</f>
        <v>0.00700000000000001</v>
      </c>
      <c r="S33" s="14" t="n">
        <f aca="false">IF(Engine!$B$246=1,Engine!BN251,"")</f>
        <v>0.00826666666666667</v>
      </c>
      <c r="T33" s="14" t="n">
        <f aca="false">IF(Engine!$B$246=1,Engine!BN252,"")</f>
        <v>0.0227</v>
      </c>
      <c r="U33" s="14" t="n">
        <f aca="false">IF(Engine!$B$246=1,Engine!BN253,"")</f>
        <v>0.000555555555555552</v>
      </c>
    </row>
    <row r="34" customFormat="false" ht="15" hidden="false" customHeight="false" outlineLevel="0" collapsed="false">
      <c r="A34" s="10" t="str">
        <f aca="false">IF(Polls!A34="","",Polls!A34)</f>
        <v/>
      </c>
      <c r="B34" s="10" t="str">
        <f aca="false">IF(Polls!B34="","",Polls!B34)</f>
        <v/>
      </c>
      <c r="C34" s="22" t="str">
        <f aca="false">IF(Polls!D34="","",Polls!D34)</f>
        <v/>
      </c>
      <c r="D34" s="10" t="str">
        <f aca="false">IF(Polls!P34="","",Polls!P34)</f>
        <v/>
      </c>
      <c r="E34" s="10" t="n">
        <f aca="false">IF(Engine!$B$255=1,Engine!BM256,"")</f>
        <v>34</v>
      </c>
      <c r="F34" s="10" t="n">
        <f aca="false">IF(Engine!$B$255=1,Engine!BM257,"")</f>
        <v>34</v>
      </c>
      <c r="G34" s="10" t="n">
        <f aca="false">IF(Engine!$B$255=1,Engine!BM258,"")</f>
        <v>18</v>
      </c>
      <c r="H34" s="10" t="n">
        <f aca="false">IF(Engine!$B$255=1,Engine!BM259,"")</f>
        <v>12</v>
      </c>
      <c r="I34" s="10" t="n">
        <f aca="false">IF(Engine!$B$255=1,Engine!BM260,"")</f>
        <v>13</v>
      </c>
      <c r="J34" s="10" t="n">
        <f aca="false">IF(Engine!$B$255=1,Engine!BM261,"")</f>
        <v>4</v>
      </c>
      <c r="K34" s="10" t="n">
        <f aca="false">IF(Engine!$B$255=1,Engine!BM262,"")</f>
        <v>7</v>
      </c>
      <c r="L34" s="10" t="n">
        <f aca="false">Engine!G255</f>
        <v>122</v>
      </c>
      <c r="M34" s="10" t="str">
        <f aca="false">Engine!E255</f>
        <v>NZF</v>
      </c>
      <c r="N34" s="10" t="str">
        <f aca="false">Engine!F255</f>
        <v>NAT</v>
      </c>
      <c r="O34" s="14" t="n">
        <f aca="false">IF(Engine!$B$255=1,Engine!BN256,"")</f>
        <v>0.000311111111111095</v>
      </c>
      <c r="P34" s="14" t="n">
        <f aca="false">IF(Engine!$B$255=1,Engine!BN257,"")</f>
        <v>0.00586666666666663</v>
      </c>
      <c r="Q34" s="14" t="n">
        <f aca="false">IF(Engine!$B$255=1,Engine!BN258,"")</f>
        <v>0.00737777777777779</v>
      </c>
      <c r="R34" s="14" t="n">
        <f aca="false">IF(Engine!$B$255=1,Engine!BN259,"")</f>
        <v>0.00700000000000001</v>
      </c>
      <c r="S34" s="14" t="n">
        <f aca="false">IF(Engine!$B$255=1,Engine!BN260,"")</f>
        <v>0.00826666666666667</v>
      </c>
      <c r="T34" s="14" t="n">
        <f aca="false">IF(Engine!$B$255=1,Engine!BN261,"")</f>
        <v>0.0227</v>
      </c>
      <c r="U34" s="14" t="n">
        <f aca="false">IF(Engine!$B$255=1,Engine!BN262,"")</f>
        <v>0.000555555555555552</v>
      </c>
    </row>
    <row r="35" customFormat="false" ht="15" hidden="false" customHeight="false" outlineLevel="0" collapsed="false">
      <c r="A35" s="10" t="str">
        <f aca="false">IF(Polls!A35="","",Polls!A35)</f>
        <v/>
      </c>
      <c r="B35" s="10" t="str">
        <f aca="false">IF(Polls!B35="","",Polls!B35)</f>
        <v/>
      </c>
      <c r="C35" s="22" t="str">
        <f aca="false">IF(Polls!D35="","",Polls!D35)</f>
        <v/>
      </c>
      <c r="D35" s="10" t="str">
        <f aca="false">IF(Polls!P35="","",Polls!P35)</f>
        <v/>
      </c>
      <c r="E35" s="10" t="n">
        <f aca="false">IF(Engine!$B$264=1,Engine!BM265,"")</f>
        <v>34</v>
      </c>
      <c r="F35" s="10" t="n">
        <f aca="false">IF(Engine!$B$264=1,Engine!BM266,"")</f>
        <v>34</v>
      </c>
      <c r="G35" s="10" t="n">
        <f aca="false">IF(Engine!$B$264=1,Engine!BM267,"")</f>
        <v>18</v>
      </c>
      <c r="H35" s="10" t="n">
        <f aca="false">IF(Engine!$B$264=1,Engine!BM268,"")</f>
        <v>12</v>
      </c>
      <c r="I35" s="10" t="n">
        <f aca="false">IF(Engine!$B$264=1,Engine!BM269,"")</f>
        <v>13</v>
      </c>
      <c r="J35" s="10" t="n">
        <f aca="false">IF(Engine!$B$264=1,Engine!BM270,"")</f>
        <v>4</v>
      </c>
      <c r="K35" s="10" t="n">
        <f aca="false">IF(Engine!$B$264=1,Engine!BM271,"")</f>
        <v>7</v>
      </c>
      <c r="L35" s="10" t="n">
        <f aca="false">Engine!G264</f>
        <v>122</v>
      </c>
      <c r="M35" s="10" t="str">
        <f aca="false">Engine!E264</f>
        <v>NZF</v>
      </c>
      <c r="N35" s="10" t="str">
        <f aca="false">Engine!F264</f>
        <v>NAT</v>
      </c>
      <c r="O35" s="14" t="n">
        <f aca="false">IF(Engine!$B$264=1,Engine!BN265,"")</f>
        <v>0.000311111111111095</v>
      </c>
      <c r="P35" s="14" t="n">
        <f aca="false">IF(Engine!$B$264=1,Engine!BN266,"")</f>
        <v>0.00586666666666663</v>
      </c>
      <c r="Q35" s="14" t="n">
        <f aca="false">IF(Engine!$B$264=1,Engine!BN267,"")</f>
        <v>0.00737777777777779</v>
      </c>
      <c r="R35" s="14" t="n">
        <f aca="false">IF(Engine!$B$264=1,Engine!BN268,"")</f>
        <v>0.00700000000000001</v>
      </c>
      <c r="S35" s="14" t="n">
        <f aca="false">IF(Engine!$B$264=1,Engine!BN269,"")</f>
        <v>0.00826666666666667</v>
      </c>
      <c r="T35" s="14" t="n">
        <f aca="false">IF(Engine!$B$264=1,Engine!BN270,"")</f>
        <v>0.0227</v>
      </c>
      <c r="U35" s="14" t="n">
        <f aca="false">IF(Engine!$B$264=1,Engine!BN271,"")</f>
        <v>0.000555555555555552</v>
      </c>
    </row>
    <row r="38" customFormat="false" ht="15" hidden="false" customHeight="false" outlineLevel="0" collapsed="false">
      <c r="A38" s="6" t="s">
        <v>94</v>
      </c>
    </row>
    <row r="39" customFormat="false" ht="77.6" hidden="false" customHeight="false" outlineLevel="0" collapsed="false">
      <c r="A39" s="9" t="s">
        <v>23</v>
      </c>
      <c r="B39" s="9" t="s">
        <v>24</v>
      </c>
      <c r="C39" s="9" t="s">
        <v>95</v>
      </c>
      <c r="D39" s="9" t="s">
        <v>96</v>
      </c>
      <c r="E39" s="9" t="s">
        <v>97</v>
      </c>
      <c r="F39" s="9" t="s">
        <v>98</v>
      </c>
      <c r="G39" s="9" t="s">
        <v>99</v>
      </c>
      <c r="H39" s="9" t="s">
        <v>100</v>
      </c>
    </row>
    <row r="40" customFormat="false" ht="15" hidden="false" customHeight="false" outlineLevel="0" collapsed="false">
      <c r="A40" s="10" t="s">
        <v>40</v>
      </c>
      <c r="B40" s="10" t="s">
        <v>41</v>
      </c>
      <c r="C40" s="23" t="n">
        <f aca="false">IFERROR(AVERAGEIFS(E$6:E$35,$D$6:$D$35,"Y"),"")</f>
        <v>35.3333333333333</v>
      </c>
      <c r="D40" s="14" t="n">
        <f aca="false">IFERROR(AVERAGEIFS(O$6:O$35,$D$6:$D$35,"Y"),"")</f>
        <v>0.00634705123170694</v>
      </c>
      <c r="E40" s="10" t="n">
        <f aca="false">COUNTIFS($D$6:$D$35,"Y",O$6:O$35,"&lt;="&amp;Settings!$B$8,E$6:E$35,"&gt;0")</f>
        <v>2</v>
      </c>
      <c r="F40" s="10" t="n">
        <f aca="false">COUNTIFS($D$6:$D$35,"Y",$N$6:$N$35,B40)</f>
        <v>1</v>
      </c>
      <c r="G40" s="10" t="n">
        <f aca="false">COUNTIFS($D$6:$D$35,"Y",E$6:E$35,0)</f>
        <v>0</v>
      </c>
      <c r="H40" s="16" t="n">
        <f aca="false">IFERROR(F40/COUNTIF($D$6:$D$35,"Y"),"")</f>
        <v>0.111111111111111</v>
      </c>
    </row>
    <row r="41" customFormat="false" ht="15" hidden="false" customHeight="false" outlineLevel="0" collapsed="false">
      <c r="A41" s="10" t="s">
        <v>42</v>
      </c>
      <c r="B41" s="10" t="s">
        <v>43</v>
      </c>
      <c r="C41" s="23" t="n">
        <f aca="false">IFERROR(AVERAGEIFS(F$6:F$35,$D$6:$D$35,"Y"),"")</f>
        <v>34.2222222222222</v>
      </c>
      <c r="D41" s="14" t="n">
        <f aca="false">IFERROR(AVERAGEIFS(P$6:P$35,$D$6:$D$35,"Y"),"")</f>
        <v>0.0031648608777558</v>
      </c>
      <c r="E41" s="10" t="n">
        <f aca="false">COUNTIFS($D$6:$D$35,"Y",P$6:P$35,"&lt;="&amp;Settings!$B$8,F$6:F$35,"&gt;0")</f>
        <v>6</v>
      </c>
      <c r="F41" s="10" t="n">
        <f aca="false">COUNTIFS($D$6:$D$35,"Y",$N$6:$N$35,B41)</f>
        <v>6</v>
      </c>
      <c r="G41" s="10" t="n">
        <f aca="false">COUNTIFS($D$6:$D$35,"Y",F$6:F$35,0)</f>
        <v>0</v>
      </c>
      <c r="H41" s="16" t="n">
        <f aca="false">IFERROR(F41/COUNTIF($D$6:$D$35,"Y"),"")</f>
        <v>0.666666666666667</v>
      </c>
    </row>
    <row r="42" customFormat="false" ht="15" hidden="false" customHeight="false" outlineLevel="0" collapsed="false">
      <c r="A42" s="10" t="s">
        <v>44</v>
      </c>
      <c r="B42" s="10" t="s">
        <v>45</v>
      </c>
      <c r="C42" s="23" t="n">
        <f aca="false">IFERROR(AVERAGEIFS(G$6:G$35,$D$6:$D$35,"Y"),"")</f>
        <v>18</v>
      </c>
      <c r="D42" s="14" t="n">
        <f aca="false">IFERROR(AVERAGEIFS(Q$6:Q$35,$D$6:$D$35,"Y"),"")</f>
        <v>0.00497622683884257</v>
      </c>
      <c r="E42" s="10" t="n">
        <f aca="false">COUNTIFS($D$6:$D$35,"Y",Q$6:Q$35,"&lt;="&amp;Settings!$B$8,G$6:G$35,"&gt;0")</f>
        <v>5</v>
      </c>
      <c r="F42" s="10" t="n">
        <f aca="false">COUNTIFS($D$6:$D$35,"Y",$N$6:$N$35,B42)</f>
        <v>0</v>
      </c>
      <c r="G42" s="10" t="n">
        <f aca="false">COUNTIFS($D$6:$D$35,"Y",G$6:G$35,0)</f>
        <v>0</v>
      </c>
      <c r="H42" s="16" t="n">
        <f aca="false">IFERROR(F42/COUNTIF($D$6:$D$35,"Y"),"")</f>
        <v>0</v>
      </c>
    </row>
    <row r="43" customFormat="false" ht="15" hidden="false" customHeight="false" outlineLevel="0" collapsed="false">
      <c r="A43" s="10" t="s">
        <v>46</v>
      </c>
      <c r="B43" s="10" t="s">
        <v>46</v>
      </c>
      <c r="C43" s="23" t="n">
        <f aca="false">IFERROR(AVERAGEIFS(H$6:H$35,$D$6:$D$35,"Y"),"")</f>
        <v>11.8888888888889</v>
      </c>
      <c r="D43" s="14" t="n">
        <f aca="false">IFERROR(AVERAGEIFS(R$6:R$35,$D$6:$D$35,"Y"),"")</f>
        <v>0.00429743933412134</v>
      </c>
      <c r="E43" s="10" t="n">
        <f aca="false">COUNTIFS($D$6:$D$35,"Y",R$6:R$35,"&lt;="&amp;Settings!$B$8,H$6:H$35,"&gt;0")</f>
        <v>6</v>
      </c>
      <c r="F43" s="10" t="n">
        <f aca="false">COUNTIFS($D$6:$D$35,"Y",$N$6:$N$35,B43)</f>
        <v>1</v>
      </c>
      <c r="G43" s="10" t="n">
        <f aca="false">COUNTIFS($D$6:$D$35,"Y",H$6:H$35,0)</f>
        <v>0</v>
      </c>
      <c r="H43" s="16" t="n">
        <f aca="false">IFERROR(F43/COUNTIF($D$6:$D$35,"Y"),"")</f>
        <v>0.111111111111111</v>
      </c>
    </row>
    <row r="44" customFormat="false" ht="15" hidden="false" customHeight="false" outlineLevel="0" collapsed="false">
      <c r="A44" s="10" t="s">
        <v>47</v>
      </c>
      <c r="B44" s="10" t="s">
        <v>48</v>
      </c>
      <c r="C44" s="23" t="n">
        <f aca="false">IFERROR(AVERAGEIFS(I$6:I$35,$D$6:$D$35,"Y"),"")</f>
        <v>12.7777777777778</v>
      </c>
      <c r="D44" s="14" t="n">
        <f aca="false">IFERROR(AVERAGEIFS(S$6:S$35,$D$6:$D$35,"Y"),"")</f>
        <v>0.0047022301556859</v>
      </c>
      <c r="E44" s="10" t="n">
        <f aca="false">COUNTIFS($D$6:$D$35,"Y",S$6:S$35,"&lt;="&amp;Settings!$B$8,I$6:I$35,"&gt;0")</f>
        <v>7</v>
      </c>
      <c r="F44" s="10" t="n">
        <f aca="false">COUNTIFS($D$6:$D$35,"Y",$N$6:$N$35,B44)</f>
        <v>0</v>
      </c>
      <c r="G44" s="10" t="n">
        <f aca="false">COUNTIFS($D$6:$D$35,"Y",I$6:I$35,0)</f>
        <v>0</v>
      </c>
      <c r="H44" s="16" t="n">
        <f aca="false">IFERROR(F44/COUNTIF($D$6:$D$35,"Y"),"")</f>
        <v>0</v>
      </c>
    </row>
    <row r="45" customFormat="false" ht="15" hidden="false" customHeight="false" outlineLevel="0" collapsed="false">
      <c r="A45" s="10" t="s">
        <v>49</v>
      </c>
      <c r="B45" s="10" t="s">
        <v>50</v>
      </c>
      <c r="C45" s="23" t="n">
        <f aca="false">IFERROR(AVERAGEIFS(J$6:J$35,$D$6:$D$35,"Y"),"")</f>
        <v>4</v>
      </c>
      <c r="D45" s="14" t="n">
        <f aca="false">IFERROR(AVERAGEIFS(T$6:T$35,$D$6:$D$35,"Y"),"")</f>
        <v>0.0221247191892536</v>
      </c>
      <c r="E45" s="10" t="n">
        <f aca="false">COUNTIFS($D$6:$D$35,"Y",T$6:T$35,"&lt;="&amp;Settings!$B$8,J$6:J$35,"&gt;0")</f>
        <v>0</v>
      </c>
      <c r="F45" s="10" t="n">
        <f aca="false">COUNTIFS($D$6:$D$35,"Y",$N$6:$N$35,B45)</f>
        <v>0</v>
      </c>
      <c r="G45" s="10" t="n">
        <f aca="false">COUNTIFS($D$6:$D$35,"Y",J$6:J$35,0)</f>
        <v>0</v>
      </c>
      <c r="H45" s="16" t="n">
        <f aca="false">IFERROR(F45/COUNTIF($D$6:$D$35,"Y"),"")</f>
        <v>0</v>
      </c>
    </row>
    <row r="46" customFormat="false" ht="15" hidden="false" customHeight="false" outlineLevel="0" collapsed="false">
      <c r="A46" s="10" t="s">
        <v>51</v>
      </c>
      <c r="B46" s="10" t="s">
        <v>52</v>
      </c>
      <c r="C46" s="23" t="n">
        <f aca="false">IFERROR(AVERAGEIFS(K$6:K$35,$D$6:$D$35,"Y"),"")</f>
        <v>6.11111111111111</v>
      </c>
      <c r="D46" s="14" t="n">
        <f aca="false">IFERROR(AVERAGEIFS(U$6:U$35,$D$6:$D$35,"Y"),"")</f>
        <v>0.0035478094349942</v>
      </c>
      <c r="E46" s="10" t="n">
        <f aca="false">COUNTIFS($D$6:$D$35,"Y",U$6:U$35,"&lt;="&amp;Settings!$B$8,K$6:K$35,"&gt;0")</f>
        <v>4</v>
      </c>
      <c r="F46" s="10" t="n">
        <f aca="false">COUNTIFS($D$6:$D$35,"Y",$N$6:$N$35,B46)</f>
        <v>1</v>
      </c>
      <c r="G46" s="10" t="n">
        <f aca="false">COUNTIFS($D$6:$D$35,"Y",K$6:K$35,0)</f>
        <v>2</v>
      </c>
      <c r="H46" s="16" t="n">
        <f aca="false">IFERROR(F46/COUNTIF($D$6:$D$35,"Y"),"")</f>
        <v>0.111111111111111</v>
      </c>
    </row>
    <row r="48" customFormat="false" ht="15" hidden="false" customHeight="false" outlineLevel="0" collapsed="false">
      <c r="A48" s="8" t="s">
        <v>101</v>
      </c>
    </row>
  </sheetData>
  <conditionalFormatting sqref="O6:U35">
    <cfRule type="colorScale" priority="2">
      <colorScale>
        <cfvo type="num" val="0"/>
        <cfvo type="num" val="0.005"/>
        <cfvo type="num" val="0.015"/>
        <color rgb="FF63BE7B"/>
        <color rgb="FFFFEB84"/>
        <color rgb="FFF8F8F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4" min="8" style="0" width="8"/>
    <col collapsed="false" customWidth="true" hidden="false" outlineLevel="0" max="16" min="15" style="0" width="12"/>
    <col collapsed="false" customWidth="true" hidden="false" outlineLevel="0" max="17" min="17" style="0" width="60"/>
  </cols>
  <sheetData>
    <row r="1" customFormat="false" ht="17.35" hidden="false" customHeight="false" outlineLevel="0" collapsed="false">
      <c r="A1" s="5" t="s">
        <v>102</v>
      </c>
    </row>
    <row r="2" customFormat="false" ht="15" hidden="false" customHeight="false" outlineLevel="0" collapsed="false">
      <c r="A2" s="21" t="s">
        <v>103</v>
      </c>
    </row>
    <row r="3" customFormat="false" ht="15" hidden="false" customHeight="false" outlineLevel="0" collapsed="false">
      <c r="A3" s="8" t="s">
        <v>104</v>
      </c>
    </row>
    <row r="5" customFormat="false" ht="39.55" hidden="false" customHeight="false" outlineLevel="0" collapsed="false">
      <c r="A5" s="9" t="s">
        <v>74</v>
      </c>
      <c r="B5" s="9" t="s">
        <v>75</v>
      </c>
      <c r="C5" s="9" t="s">
        <v>105</v>
      </c>
      <c r="D5" s="9" t="s">
        <v>76</v>
      </c>
      <c r="E5" s="9" t="s">
        <v>106</v>
      </c>
      <c r="F5" s="9" t="s">
        <v>107</v>
      </c>
      <c r="G5" s="9" t="s">
        <v>108</v>
      </c>
      <c r="H5" s="9" t="s">
        <v>41</v>
      </c>
      <c r="I5" s="9" t="s">
        <v>43</v>
      </c>
      <c r="J5" s="9" t="s">
        <v>45</v>
      </c>
      <c r="K5" s="9" t="s">
        <v>46</v>
      </c>
      <c r="L5" s="9" t="s">
        <v>48</v>
      </c>
      <c r="M5" s="9" t="s">
        <v>50</v>
      </c>
      <c r="N5" s="9" t="s">
        <v>52</v>
      </c>
      <c r="O5" s="9" t="s">
        <v>109</v>
      </c>
      <c r="P5" s="9" t="s">
        <v>110</v>
      </c>
      <c r="Q5" s="9" t="s">
        <v>111</v>
      </c>
    </row>
    <row r="6" customFormat="false" ht="15" hidden="false" customHeight="false" outlineLevel="0" collapsed="false">
      <c r="A6" s="24" t="s">
        <v>112</v>
      </c>
      <c r="B6" s="24" t="s">
        <v>113</v>
      </c>
      <c r="C6" s="24" t="s">
        <v>114</v>
      </c>
      <c r="D6" s="25" t="n">
        <v>46307</v>
      </c>
      <c r="E6" s="26" t="str">
        <f aca="false">IF(B6="","",IFERROR(INDEX('Pollster Methods'!$C$5:$C$20,MATCH(B6,'Pollster Methods'!$A$5:$A$20,0)),"Not listed"))</f>
        <v>Half mobile phone (random dialling), half online panels</v>
      </c>
      <c r="F6" s="27" t="n">
        <v>1007</v>
      </c>
      <c r="G6" s="28" t="n">
        <f aca="false">IF(N(F6)=0,"",1.96*SQRT(0.25/F6))</f>
        <v>0.0308824210914995</v>
      </c>
      <c r="H6" s="29" t="n">
        <v>0.28</v>
      </c>
      <c r="I6" s="29" t="n">
        <v>0.28</v>
      </c>
      <c r="J6" s="29" t="n">
        <v>0.15</v>
      </c>
      <c r="K6" s="29" t="n">
        <v>0.1</v>
      </c>
      <c r="L6" s="29" t="n">
        <v>0.1</v>
      </c>
      <c r="M6" s="29" t="n">
        <v>0.004</v>
      </c>
      <c r="N6" s="29" t="n">
        <v>0.08</v>
      </c>
      <c r="O6" s="28" t="n">
        <f aca="false">IF(COUNT(H6:N6)=0,"",MAX(0,1-SUM(H6:N6)))</f>
        <v>0.00600000000000001</v>
      </c>
      <c r="P6" s="24" t="s">
        <v>115</v>
      </c>
      <c r="Q6" s="24" t="s">
        <v>116</v>
      </c>
    </row>
    <row r="7" customFormat="false" ht="15" hidden="false" customHeight="false" outlineLevel="0" collapsed="false">
      <c r="A7" s="24" t="s">
        <v>117</v>
      </c>
      <c r="B7" s="24" t="s">
        <v>118</v>
      </c>
      <c r="C7" s="24" t="s">
        <v>119</v>
      </c>
      <c r="D7" s="25" t="n">
        <v>46300</v>
      </c>
      <c r="E7" s="26" t="str">
        <f aca="false">IF(B7="","",IFERROR(INDEX('Pollster Methods'!$C$5:$C$20,MATCH(B7,'Pollster Methods'!$A$5:$A$20,0)),"Not listed"))</f>
        <v>Phone (landline &amp; mobile) + online</v>
      </c>
      <c r="F7" s="27" t="n">
        <v>1000</v>
      </c>
      <c r="G7" s="28" t="n">
        <f aca="false">IF(N(F7)=0,"",1.96*SQRT(0.25/F7))</f>
        <v>0.0309903210696501</v>
      </c>
      <c r="H7" s="29" t="n">
        <v>0.285</v>
      </c>
      <c r="I7" s="29" t="n">
        <v>0.282</v>
      </c>
      <c r="J7" s="29" t="n">
        <v>0.133</v>
      </c>
      <c r="K7" s="29" t="n">
        <v>0.092</v>
      </c>
      <c r="L7" s="29" t="n">
        <v>0.12</v>
      </c>
      <c r="M7" s="29" t="n">
        <v>0.014</v>
      </c>
      <c r="N7" s="29" t="n">
        <v>0.048</v>
      </c>
      <c r="O7" s="28" t="n">
        <f aca="false">IF(COUNT(H7:N7)=0,"",MAX(0,1-SUM(H7:N7)))</f>
        <v>0.026</v>
      </c>
      <c r="P7" s="24" t="s">
        <v>115</v>
      </c>
      <c r="Q7" s="24" t="s">
        <v>120</v>
      </c>
    </row>
    <row r="8" customFormat="false" ht="15" hidden="false" customHeight="false" outlineLevel="0" collapsed="false">
      <c r="A8" s="24" t="s">
        <v>121</v>
      </c>
      <c r="B8" s="24" t="s">
        <v>113</v>
      </c>
      <c r="C8" s="24" t="s">
        <v>119</v>
      </c>
      <c r="D8" s="25" t="n">
        <v>46300</v>
      </c>
      <c r="E8" s="26" t="str">
        <f aca="false">IF(B8="","",IFERROR(INDEX('Pollster Methods'!$C$5:$C$20,MATCH(B8,'Pollster Methods'!$A$5:$A$20,0)),"Not listed"))</f>
        <v>Half mobile phone (random dialling), half online panels</v>
      </c>
      <c r="F8" s="27" t="n">
        <v>1001</v>
      </c>
      <c r="G8" s="28" t="n">
        <f aca="false">IF(N(F8)=0,"",1.96*SQRT(0.25/F8))</f>
        <v>0.0309748375208097</v>
      </c>
      <c r="H8" s="29" t="n">
        <v>0.29</v>
      </c>
      <c r="I8" s="29" t="n">
        <v>0.28</v>
      </c>
      <c r="J8" s="29" t="n">
        <v>0.16</v>
      </c>
      <c r="K8" s="29" t="n">
        <v>0.09</v>
      </c>
      <c r="L8" s="29" t="n">
        <v>0.1</v>
      </c>
      <c r="M8" s="29" t="n">
        <v>0.006</v>
      </c>
      <c r="N8" s="29" t="n">
        <v>0.07</v>
      </c>
      <c r="O8" s="28" t="n">
        <f aca="false">IF(COUNT(H8:N8)=0,"",MAX(0,1-SUM(H8:N8)))</f>
        <v>0.004</v>
      </c>
      <c r="P8" s="24" t="s">
        <v>115</v>
      </c>
      <c r="Q8" s="24" t="s">
        <v>122</v>
      </c>
    </row>
    <row r="9" customFormat="false" ht="15" hidden="false" customHeight="false" outlineLevel="0" collapsed="false">
      <c r="A9" s="24" t="s">
        <v>123</v>
      </c>
      <c r="B9" s="24" t="s">
        <v>124</v>
      </c>
      <c r="C9" s="24" t="s">
        <v>125</v>
      </c>
      <c r="D9" s="25" t="n">
        <v>46296</v>
      </c>
      <c r="E9" s="26" t="str">
        <f aca="false">IF(B9="","",IFERROR(INDEX('Pollster Methods'!$C$5:$C$20,MATCH(B9,'Pollster Methods'!$A$5:$A$20,0)),"Not listed"))</f>
        <v>Online</v>
      </c>
      <c r="F9" s="27" t="n">
        <v>1000</v>
      </c>
      <c r="G9" s="28" t="n">
        <f aca="false">IF(N(F9)=0,"",1.96*SQRT(0.25/F9))</f>
        <v>0.0309903210696501</v>
      </c>
      <c r="H9" s="29" t="n">
        <v>0.259</v>
      </c>
      <c r="I9" s="29" t="n">
        <v>0.308</v>
      </c>
      <c r="J9" s="29" t="n">
        <v>0.148</v>
      </c>
      <c r="K9" s="29" t="n">
        <v>0.09</v>
      </c>
      <c r="L9" s="29" t="n">
        <v>0.106</v>
      </c>
      <c r="M9" s="29"/>
      <c r="N9" s="29" t="n">
        <v>0.055</v>
      </c>
      <c r="O9" s="28" t="n">
        <f aca="false">IF(COUNT(H9:N9)=0,"",MAX(0,1-SUM(H9:N9)))</f>
        <v>0.0339999999999999</v>
      </c>
      <c r="P9" s="24" t="s">
        <v>115</v>
      </c>
      <c r="Q9" s="24" t="s">
        <v>126</v>
      </c>
    </row>
    <row r="10" customFormat="false" ht="15" hidden="false" customHeight="false" outlineLevel="0" collapsed="false">
      <c r="A10" s="24" t="s">
        <v>127</v>
      </c>
      <c r="B10" s="24" t="s">
        <v>113</v>
      </c>
      <c r="C10" s="24" t="s">
        <v>128</v>
      </c>
      <c r="D10" s="25" t="n">
        <v>46292</v>
      </c>
      <c r="E10" s="26" t="str">
        <f aca="false">IF(B10="","",IFERROR(INDEX('Pollster Methods'!$C$5:$C$20,MATCH(B10,'Pollster Methods'!$A$5:$A$20,0)),"Not listed"))</f>
        <v>Half mobile phone (random dialling), half online panels</v>
      </c>
      <c r="F10" s="27" t="n">
        <v>1004</v>
      </c>
      <c r="G10" s="28" t="n">
        <f aca="false">IF(N(F10)=0,"",1.96*SQRT(0.25/F10))</f>
        <v>0.0309285257517924</v>
      </c>
      <c r="H10" s="29" t="n">
        <v>0.28</v>
      </c>
      <c r="I10" s="29" t="n">
        <v>0.28</v>
      </c>
      <c r="J10" s="29" t="n">
        <v>0.16</v>
      </c>
      <c r="K10" s="29" t="n">
        <v>0.11</v>
      </c>
      <c r="L10" s="29" t="n">
        <v>0.09</v>
      </c>
      <c r="M10" s="29" t="n">
        <v>0.012</v>
      </c>
      <c r="N10" s="29" t="n">
        <v>0.06</v>
      </c>
      <c r="O10" s="28" t="n">
        <f aca="false">IF(COUNT(H10:N10)=0,"",MAX(0,1-SUM(H10:N10)))</f>
        <v>0.00800000000000001</v>
      </c>
      <c r="P10" s="24" t="s">
        <v>115</v>
      </c>
      <c r="Q10" s="24" t="s">
        <v>129</v>
      </c>
    </row>
    <row r="11" customFormat="false" ht="15" hidden="false" customHeight="false" outlineLevel="0" collapsed="false">
      <c r="A11" s="24" t="s">
        <v>130</v>
      </c>
      <c r="B11" s="24" t="s">
        <v>131</v>
      </c>
      <c r="C11" s="24" t="s">
        <v>132</v>
      </c>
      <c r="D11" s="25" t="n">
        <v>46292</v>
      </c>
      <c r="E11" s="26" t="str">
        <f aca="false">IF(B11="","",IFERROR(INDEX('Pollster Methods'!$C$5:$C$20,MATCH(B11,'Pollster Methods'!$A$5:$A$20,0)),"Not listed"))</f>
        <v>Phone (landline &amp; mobile)</v>
      </c>
      <c r="F11" s="27" t="n">
        <v>859</v>
      </c>
      <c r="G11" s="28" t="n">
        <f aca="false">IF(N(F11)=0,"",1.96*SQRT(0.25/F11))</f>
        <v>0.0334371685028121</v>
      </c>
      <c r="H11" s="29" t="n">
        <v>0.31</v>
      </c>
      <c r="I11" s="29" t="n">
        <v>0.235</v>
      </c>
      <c r="J11" s="29" t="n">
        <v>0.16</v>
      </c>
      <c r="K11" s="29" t="n">
        <v>0.11</v>
      </c>
      <c r="L11" s="29" t="n">
        <v>0.1</v>
      </c>
      <c r="M11" s="29" t="n">
        <v>0.02</v>
      </c>
      <c r="N11" s="29" t="n">
        <v>0.065</v>
      </c>
      <c r="O11" s="28" t="n">
        <f aca="false">IF(COUNT(H11:N11)=0,"",MAX(0,1-SUM(H11:N11)))</f>
        <v>0</v>
      </c>
      <c r="P11" s="24" t="s">
        <v>115</v>
      </c>
      <c r="Q11" s="24" t="s">
        <v>133</v>
      </c>
    </row>
    <row r="12" customFormat="false" ht="15" hidden="false" customHeight="false" outlineLevel="0" collapsed="false">
      <c r="A12" s="24" t="s">
        <v>134</v>
      </c>
      <c r="B12" s="24" t="s">
        <v>135</v>
      </c>
      <c r="C12" s="24" t="s">
        <v>136</v>
      </c>
      <c r="D12" s="25" t="n">
        <v>46276</v>
      </c>
      <c r="E12" s="26" t="str">
        <f aca="false">IF(B12="","",IFERROR(INDEX('Pollster Methods'!$C$5:$C$20,MATCH(B12,'Pollster Methods'!$A$5:$A$20,0)),"Not listed"))</f>
        <v>Online panel</v>
      </c>
      <c r="F12" s="27" t="n">
        <v>1011</v>
      </c>
      <c r="G12" s="28" t="n">
        <f aca="false">IF(N(F12)=0,"",1.96*SQRT(0.25/F12))</f>
        <v>0.0308212677223995</v>
      </c>
      <c r="H12" s="29" t="n">
        <v>0.27</v>
      </c>
      <c r="I12" s="29" t="n">
        <v>0.28</v>
      </c>
      <c r="J12" s="29" t="n">
        <v>0.14</v>
      </c>
      <c r="K12" s="29" t="n">
        <v>0.09</v>
      </c>
      <c r="L12" s="29" t="n">
        <v>0.13</v>
      </c>
      <c r="M12" s="29" t="n">
        <v>0.02</v>
      </c>
      <c r="N12" s="29" t="n">
        <v>0.06</v>
      </c>
      <c r="O12" s="28" t="n">
        <f aca="false">IF(COUNT(H12:N12)=0,"",MAX(0,1-SUM(H12:N12)))</f>
        <v>0.01</v>
      </c>
      <c r="P12" s="24" t="s">
        <v>115</v>
      </c>
      <c r="Q12" s="24" t="s">
        <v>129</v>
      </c>
    </row>
    <row r="13" customFormat="false" ht="15" hidden="false" customHeight="false" outlineLevel="0" collapsed="false">
      <c r="A13" s="24" t="s">
        <v>137</v>
      </c>
      <c r="B13" s="24" t="s">
        <v>138</v>
      </c>
      <c r="C13" s="24" t="s">
        <v>139</v>
      </c>
      <c r="D13" s="25" t="n">
        <v>46275</v>
      </c>
      <c r="E13" s="26" t="str">
        <f aca="false">IF(B13="","",IFERROR(INDEX('Pollster Methods'!$C$5:$C$20,MATCH(B13,'Pollster Methods'!$A$5:$A$20,0)),"Not listed"))</f>
        <v>Not stated</v>
      </c>
      <c r="F13" s="27" t="n">
        <v>1701</v>
      </c>
      <c r="G13" s="28" t="n">
        <f aca="false">IF(N(F13)=0,"",1.96*SQRT(0.25/F13))</f>
        <v>0.0237615036034747</v>
      </c>
      <c r="H13" s="29" t="n">
        <v>0.3</v>
      </c>
      <c r="I13" s="29" t="n">
        <v>0.31</v>
      </c>
      <c r="J13" s="29" t="n">
        <v>0.12</v>
      </c>
      <c r="K13" s="29" t="n">
        <v>0.08</v>
      </c>
      <c r="L13" s="29" t="n">
        <v>0.1</v>
      </c>
      <c r="M13" s="29" t="n">
        <v>0.02</v>
      </c>
      <c r="N13" s="29" t="n">
        <v>0.07</v>
      </c>
      <c r="O13" s="28" t="n">
        <f aca="false">IF(COUNT(H13:N13)=0,"",MAX(0,1-SUM(H13:N13)))</f>
        <v>0</v>
      </c>
      <c r="P13" s="24" t="s">
        <v>115</v>
      </c>
      <c r="Q13" s="24" t="s">
        <v>129</v>
      </c>
    </row>
    <row r="14" customFormat="false" ht="15" hidden="false" customHeight="false" outlineLevel="0" collapsed="false">
      <c r="A14" s="24" t="s">
        <v>140</v>
      </c>
      <c r="B14" s="24" t="s">
        <v>118</v>
      </c>
      <c r="C14" s="24" t="s">
        <v>141</v>
      </c>
      <c r="D14" s="25" t="n">
        <v>46268</v>
      </c>
      <c r="E14" s="26" t="str">
        <f aca="false">IF(B14="","",IFERROR(INDEX('Pollster Methods'!$C$5:$C$20,MATCH(B14,'Pollster Methods'!$A$5:$A$20,0)),"Not listed"))</f>
        <v>Phone (landline &amp; mobile) + online</v>
      </c>
      <c r="F14" s="27" t="n">
        <v>1000</v>
      </c>
      <c r="G14" s="28" t="n">
        <f aca="false">IF(N(F14)=0,"",1.96*SQRT(0.25/F14))</f>
        <v>0.0309903210696501</v>
      </c>
      <c r="H14" s="29" t="n">
        <v>0.29</v>
      </c>
      <c r="I14" s="29" t="n">
        <v>0.259</v>
      </c>
      <c r="J14" s="29" t="n">
        <v>0.139</v>
      </c>
      <c r="K14" s="29" t="n">
        <v>0.105</v>
      </c>
      <c r="L14" s="29" t="n">
        <v>0.084</v>
      </c>
      <c r="M14" s="29" t="n">
        <v>0.02</v>
      </c>
      <c r="N14" s="29" t="n">
        <v>0.045</v>
      </c>
      <c r="O14" s="28" t="n">
        <f aca="false">IF(COUNT(H14:N14)=0,"",MAX(0,1-SUM(H14:N14)))</f>
        <v>0.0579999999999999</v>
      </c>
      <c r="P14" s="24" t="s">
        <v>115</v>
      </c>
      <c r="Q14" s="24" t="s">
        <v>129</v>
      </c>
    </row>
    <row r="15" customFormat="false" ht="15" hidden="false" customHeight="false" outlineLevel="0" collapsed="false">
      <c r="A15" s="24" t="s">
        <v>142</v>
      </c>
      <c r="B15" s="24" t="s">
        <v>131</v>
      </c>
      <c r="C15" s="24" t="s">
        <v>143</v>
      </c>
      <c r="D15" s="25" t="n">
        <v>46257</v>
      </c>
      <c r="E15" s="26" t="str">
        <f aca="false">IF(B15="","",IFERROR(INDEX('Pollster Methods'!$C$5:$C$20,MATCH(B15,'Pollster Methods'!$A$5:$A$20,0)),"Not listed"))</f>
        <v>Phone (landline &amp; mobile)</v>
      </c>
      <c r="F15" s="27" t="n">
        <v>858</v>
      </c>
      <c r="G15" s="28" t="n">
        <f aca="false">IF(N(F15)=0,"",1.96*SQRT(0.25/F15))</f>
        <v>0.033456648357947</v>
      </c>
      <c r="H15" s="29" t="n">
        <v>0.31</v>
      </c>
      <c r="I15" s="29" t="n">
        <v>0.24</v>
      </c>
      <c r="J15" s="29" t="n">
        <v>0.155</v>
      </c>
      <c r="K15" s="29" t="n">
        <v>0.105</v>
      </c>
      <c r="L15" s="29" t="n">
        <v>0.075</v>
      </c>
      <c r="M15" s="29" t="n">
        <v>0.015</v>
      </c>
      <c r="N15" s="29" t="n">
        <v>0.095</v>
      </c>
      <c r="O15" s="28" t="n">
        <f aca="false">IF(COUNT(H15:N15)=0,"",MAX(0,1-SUM(H15:N15)))</f>
        <v>0.005</v>
      </c>
      <c r="P15" s="24" t="s">
        <v>144</v>
      </c>
      <c r="Q15" s="24" t="s">
        <v>129</v>
      </c>
    </row>
    <row r="16" customFormat="false" ht="15" hidden="false" customHeight="false" outlineLevel="0" collapsed="false">
      <c r="A16" s="24" t="s">
        <v>145</v>
      </c>
      <c r="B16" s="24" t="s">
        <v>124</v>
      </c>
      <c r="C16" s="24" t="s">
        <v>146</v>
      </c>
      <c r="D16" s="25" t="n">
        <v>46255</v>
      </c>
      <c r="E16" s="26" t="str">
        <f aca="false">IF(B16="","",IFERROR(INDEX('Pollster Methods'!$C$5:$C$20,MATCH(B16,'Pollster Methods'!$A$5:$A$20,0)),"Not listed"))</f>
        <v>Online</v>
      </c>
      <c r="F16" s="27" t="n">
        <v>1000</v>
      </c>
      <c r="G16" s="28" t="n">
        <f aca="false">IF(N(F16)=0,"",1.96*SQRT(0.25/F16))</f>
        <v>0.0309903210696501</v>
      </c>
      <c r="H16" s="29" t="n">
        <v>0.291</v>
      </c>
      <c r="I16" s="29" t="n">
        <v>0.322</v>
      </c>
      <c r="J16" s="29" t="n">
        <v>0.102</v>
      </c>
      <c r="K16" s="29" t="n">
        <v>0.077</v>
      </c>
      <c r="L16" s="29" t="n">
        <v>0.119</v>
      </c>
      <c r="M16" s="29" t="n">
        <v>0.03</v>
      </c>
      <c r="N16" s="29" t="n">
        <v>0.053</v>
      </c>
      <c r="O16" s="28" t="n">
        <f aca="false">IF(COUNT(H16:N16)=0,"",MAX(0,1-SUM(H16:N16)))</f>
        <v>0.00600000000000001</v>
      </c>
      <c r="P16" s="24" t="s">
        <v>144</v>
      </c>
      <c r="Q16" s="24" t="s">
        <v>129</v>
      </c>
    </row>
    <row r="17" customFormat="false" ht="15" hidden="false" customHeight="false" outlineLevel="0" collapsed="false">
      <c r="A17" s="24" t="s">
        <v>147</v>
      </c>
      <c r="B17" s="24" t="s">
        <v>113</v>
      </c>
      <c r="C17" s="24" t="s">
        <v>148</v>
      </c>
      <c r="D17" s="25" t="n">
        <v>46245</v>
      </c>
      <c r="E17" s="26" t="str">
        <f aca="false">IF(B17="","",IFERROR(INDEX('Pollster Methods'!$C$5:$C$20,MATCH(B17,'Pollster Methods'!$A$5:$A$20,0)),"Not listed"))</f>
        <v>Half mobile phone (random dialling), half online panels</v>
      </c>
      <c r="F17" s="27" t="n">
        <v>847</v>
      </c>
      <c r="G17" s="28" t="n">
        <f aca="false">IF(N(F17)=0,"",1.96*SQRT(0.25/F17))</f>
        <v>0.0336731985044584</v>
      </c>
      <c r="H17" s="29" t="n">
        <v>0.29</v>
      </c>
      <c r="I17" s="29" t="n">
        <v>0.3</v>
      </c>
      <c r="J17" s="29" t="n">
        <v>0.12</v>
      </c>
      <c r="K17" s="29" t="n">
        <v>0.09</v>
      </c>
      <c r="L17" s="29" t="n">
        <v>0.08</v>
      </c>
      <c r="M17" s="29" t="n">
        <v>0.011</v>
      </c>
      <c r="N17" s="29" t="n">
        <v>0.08</v>
      </c>
      <c r="O17" s="28" t="n">
        <f aca="false">IF(COUNT(H17:N17)=0,"",MAX(0,1-SUM(H17:N17)))</f>
        <v>0.029</v>
      </c>
      <c r="P17" s="24" t="s">
        <v>144</v>
      </c>
      <c r="Q17" s="24" t="s">
        <v>129</v>
      </c>
    </row>
    <row r="18" customFormat="false" ht="15" hidden="false" customHeight="false" outlineLevel="0" collapsed="false">
      <c r="A18" s="24" t="s">
        <v>149</v>
      </c>
      <c r="B18" s="24" t="s">
        <v>150</v>
      </c>
      <c r="C18" s="24" t="s">
        <v>151</v>
      </c>
      <c r="D18" s="25" t="n">
        <v>46245</v>
      </c>
      <c r="E18" s="26" t="str">
        <f aca="false">IF(B18="","",IFERROR(INDEX('Pollster Methods'!$C$5:$C$20,MATCH(B18,'Pollster Methods'!$A$5:$A$20,0)),"Not listed"))</f>
        <v>Not consistently published</v>
      </c>
      <c r="F18" s="27"/>
      <c r="G18" s="28" t="str">
        <f aca="false">IF(N(F18)=0,"",1.96*SQRT(0.25/F18))</f>
        <v/>
      </c>
      <c r="H18" s="29" t="n">
        <v>0.29</v>
      </c>
      <c r="I18" s="29" t="n">
        <v>0.34</v>
      </c>
      <c r="J18" s="29" t="n">
        <v>0.08</v>
      </c>
      <c r="K18" s="29" t="n">
        <v>0.07</v>
      </c>
      <c r="L18" s="29" t="n">
        <v>0.13</v>
      </c>
      <c r="M18" s="29" t="n">
        <v>0.03</v>
      </c>
      <c r="N18" s="29" t="n">
        <v>0.052</v>
      </c>
      <c r="O18" s="28" t="n">
        <f aca="false">IF(COUNT(H18:N18)=0,"",MAX(0,1-SUM(H18:N18)))</f>
        <v>0.0079999999999999</v>
      </c>
      <c r="P18" s="24" t="s">
        <v>144</v>
      </c>
      <c r="Q18" s="24" t="s">
        <v>152</v>
      </c>
    </row>
    <row r="19" customFormat="false" ht="15" hidden="false" customHeight="false" outlineLevel="0" collapsed="false">
      <c r="A19" s="24" t="s">
        <v>153</v>
      </c>
      <c r="B19" s="24" t="s">
        <v>118</v>
      </c>
      <c r="C19" s="24" t="s">
        <v>154</v>
      </c>
      <c r="D19" s="25" t="n">
        <v>46238</v>
      </c>
      <c r="E19" s="26" t="str">
        <f aca="false">IF(B19="","",IFERROR(INDEX('Pollster Methods'!$C$5:$C$20,MATCH(B19,'Pollster Methods'!$A$5:$A$20,0)),"Not listed"))</f>
        <v>Phone (landline &amp; mobile) + online</v>
      </c>
      <c r="F19" s="27" t="n">
        <v>1000</v>
      </c>
      <c r="G19" s="28" t="n">
        <f aca="false">IF(N(F19)=0,"",1.96*SQRT(0.25/F19))</f>
        <v>0.0309903210696501</v>
      </c>
      <c r="H19" s="29" t="n">
        <v>0.31</v>
      </c>
      <c r="I19" s="29" t="n">
        <v>0.278</v>
      </c>
      <c r="J19" s="29" t="n">
        <v>0.101</v>
      </c>
      <c r="K19" s="29" t="n">
        <v>0.073</v>
      </c>
      <c r="L19" s="29" t="n">
        <v>0.091</v>
      </c>
      <c r="M19" s="29" t="n">
        <v>0.015</v>
      </c>
      <c r="N19" s="29" t="n">
        <v>0.061</v>
      </c>
      <c r="O19" s="28" t="n">
        <f aca="false">IF(COUNT(H19:N19)=0,"",MAX(0,1-SUM(H19:N19)))</f>
        <v>0.071</v>
      </c>
      <c r="P19" s="24" t="s">
        <v>144</v>
      </c>
      <c r="Q19" s="24" t="s">
        <v>129</v>
      </c>
    </row>
    <row r="20" customFormat="false" ht="15" hidden="false" customHeight="false" outlineLevel="0" collapsed="false">
      <c r="A20" s="24"/>
      <c r="B20" s="24"/>
      <c r="C20" s="24"/>
      <c r="D20" s="25"/>
      <c r="E20" s="26" t="str">
        <f aca="false">IF(B20="","",IFERROR(INDEX('Pollster Methods'!$C$5:$C$20,MATCH(B20,'Pollster Methods'!$A$5:$A$20,0)),"Not listed"))</f>
        <v/>
      </c>
      <c r="F20" s="27"/>
      <c r="G20" s="28" t="str">
        <f aca="false">IF(N(F20)=0,"",1.96*SQRT(0.25/F20))</f>
        <v/>
      </c>
      <c r="H20" s="29"/>
      <c r="I20" s="29"/>
      <c r="J20" s="29"/>
      <c r="K20" s="29"/>
      <c r="L20" s="29"/>
      <c r="M20" s="29"/>
      <c r="N20" s="29"/>
      <c r="O20" s="28" t="str">
        <f aca="false">IF(COUNT(H20:N20)=0,"",MAX(0,1-SUM(H20:N20)))</f>
        <v/>
      </c>
      <c r="P20" s="24"/>
      <c r="Q20" s="24"/>
    </row>
    <row r="21" customFormat="false" ht="15" hidden="false" customHeight="false" outlineLevel="0" collapsed="false">
      <c r="A21" s="24"/>
      <c r="B21" s="24"/>
      <c r="C21" s="24"/>
      <c r="D21" s="25"/>
      <c r="E21" s="26" t="str">
        <f aca="false">IF(B21="","",IFERROR(INDEX('Pollster Methods'!$C$5:$C$20,MATCH(B21,'Pollster Methods'!$A$5:$A$20,0)),"Not listed"))</f>
        <v/>
      </c>
      <c r="F21" s="27"/>
      <c r="G21" s="28" t="str">
        <f aca="false">IF(N(F21)=0,"",1.96*SQRT(0.25/F21))</f>
        <v/>
      </c>
      <c r="H21" s="29"/>
      <c r="I21" s="29"/>
      <c r="J21" s="29"/>
      <c r="K21" s="29"/>
      <c r="L21" s="29"/>
      <c r="M21" s="29"/>
      <c r="N21" s="29"/>
      <c r="O21" s="28" t="str">
        <f aca="false">IF(COUNT(H21:N21)=0,"",MAX(0,1-SUM(H21:N21)))</f>
        <v/>
      </c>
      <c r="P21" s="24"/>
      <c r="Q21" s="24"/>
    </row>
    <row r="22" customFormat="false" ht="15" hidden="false" customHeight="false" outlineLevel="0" collapsed="false">
      <c r="A22" s="24"/>
      <c r="B22" s="24"/>
      <c r="C22" s="24"/>
      <c r="D22" s="25"/>
      <c r="E22" s="26" t="str">
        <f aca="false">IF(B22="","",IFERROR(INDEX('Pollster Methods'!$C$5:$C$20,MATCH(B22,'Pollster Methods'!$A$5:$A$20,0)),"Not listed"))</f>
        <v/>
      </c>
      <c r="F22" s="27"/>
      <c r="G22" s="28" t="str">
        <f aca="false">IF(N(F22)=0,"",1.96*SQRT(0.25/F22))</f>
        <v/>
      </c>
      <c r="H22" s="29"/>
      <c r="I22" s="29"/>
      <c r="J22" s="29"/>
      <c r="K22" s="29"/>
      <c r="L22" s="29"/>
      <c r="M22" s="29"/>
      <c r="N22" s="29"/>
      <c r="O22" s="28" t="str">
        <f aca="false">IF(COUNT(H22:N22)=0,"",MAX(0,1-SUM(H22:N22)))</f>
        <v/>
      </c>
      <c r="P22" s="24"/>
      <c r="Q22" s="24"/>
    </row>
    <row r="23" customFormat="false" ht="15" hidden="false" customHeight="false" outlineLevel="0" collapsed="false">
      <c r="A23" s="24"/>
      <c r="B23" s="24"/>
      <c r="C23" s="24"/>
      <c r="D23" s="25"/>
      <c r="E23" s="26" t="str">
        <f aca="false">IF(B23="","",IFERROR(INDEX('Pollster Methods'!$C$5:$C$20,MATCH(B23,'Pollster Methods'!$A$5:$A$20,0)),"Not listed"))</f>
        <v/>
      </c>
      <c r="F23" s="27"/>
      <c r="G23" s="28" t="str">
        <f aca="false">IF(N(F23)=0,"",1.96*SQRT(0.25/F23))</f>
        <v/>
      </c>
      <c r="H23" s="29"/>
      <c r="I23" s="29"/>
      <c r="J23" s="29"/>
      <c r="K23" s="29"/>
      <c r="L23" s="29"/>
      <c r="M23" s="29"/>
      <c r="N23" s="29"/>
      <c r="O23" s="28" t="str">
        <f aca="false">IF(COUNT(H23:N23)=0,"",MAX(0,1-SUM(H23:N23)))</f>
        <v/>
      </c>
      <c r="P23" s="24"/>
      <c r="Q23" s="24"/>
    </row>
    <row r="24" customFormat="false" ht="15" hidden="false" customHeight="false" outlineLevel="0" collapsed="false">
      <c r="A24" s="24"/>
      <c r="B24" s="24"/>
      <c r="C24" s="24"/>
      <c r="D24" s="25"/>
      <c r="E24" s="26" t="str">
        <f aca="false">IF(B24="","",IFERROR(INDEX('Pollster Methods'!$C$5:$C$20,MATCH(B24,'Pollster Methods'!$A$5:$A$20,0)),"Not listed"))</f>
        <v/>
      </c>
      <c r="F24" s="27"/>
      <c r="G24" s="28" t="str">
        <f aca="false">IF(N(F24)=0,"",1.96*SQRT(0.25/F24))</f>
        <v/>
      </c>
      <c r="H24" s="29"/>
      <c r="I24" s="29"/>
      <c r="J24" s="29"/>
      <c r="K24" s="29"/>
      <c r="L24" s="29"/>
      <c r="M24" s="29"/>
      <c r="N24" s="29"/>
      <c r="O24" s="28" t="str">
        <f aca="false">IF(COUNT(H24:N24)=0,"",MAX(0,1-SUM(H24:N24)))</f>
        <v/>
      </c>
      <c r="P24" s="24"/>
      <c r="Q24" s="24"/>
    </row>
    <row r="25" customFormat="false" ht="15" hidden="false" customHeight="false" outlineLevel="0" collapsed="false">
      <c r="A25" s="24"/>
      <c r="B25" s="24"/>
      <c r="C25" s="24"/>
      <c r="D25" s="25"/>
      <c r="E25" s="26" t="str">
        <f aca="false">IF(B25="","",IFERROR(INDEX('Pollster Methods'!$C$5:$C$20,MATCH(B25,'Pollster Methods'!$A$5:$A$20,0)),"Not listed"))</f>
        <v/>
      </c>
      <c r="F25" s="27"/>
      <c r="G25" s="28" t="str">
        <f aca="false">IF(N(F25)=0,"",1.96*SQRT(0.25/F25))</f>
        <v/>
      </c>
      <c r="H25" s="29"/>
      <c r="I25" s="29"/>
      <c r="J25" s="29"/>
      <c r="K25" s="29"/>
      <c r="L25" s="29"/>
      <c r="M25" s="29"/>
      <c r="N25" s="29"/>
      <c r="O25" s="28" t="str">
        <f aca="false">IF(COUNT(H25:N25)=0,"",MAX(0,1-SUM(H25:N25)))</f>
        <v/>
      </c>
      <c r="P25" s="24"/>
      <c r="Q25" s="24"/>
    </row>
    <row r="26" customFormat="false" ht="15" hidden="false" customHeight="false" outlineLevel="0" collapsed="false">
      <c r="A26" s="24"/>
      <c r="B26" s="24"/>
      <c r="C26" s="24"/>
      <c r="D26" s="25"/>
      <c r="E26" s="26" t="str">
        <f aca="false">IF(B26="","",IFERROR(INDEX('Pollster Methods'!$C$5:$C$20,MATCH(B26,'Pollster Methods'!$A$5:$A$20,0)),"Not listed"))</f>
        <v/>
      </c>
      <c r="F26" s="27"/>
      <c r="G26" s="28" t="str">
        <f aca="false">IF(N(F26)=0,"",1.96*SQRT(0.25/F26))</f>
        <v/>
      </c>
      <c r="H26" s="29"/>
      <c r="I26" s="29"/>
      <c r="J26" s="29"/>
      <c r="K26" s="29"/>
      <c r="L26" s="29"/>
      <c r="M26" s="29"/>
      <c r="N26" s="29"/>
      <c r="O26" s="28" t="str">
        <f aca="false">IF(COUNT(H26:N26)=0,"",MAX(0,1-SUM(H26:N26)))</f>
        <v/>
      </c>
      <c r="P26" s="24"/>
      <c r="Q26" s="24"/>
    </row>
    <row r="27" customFormat="false" ht="15" hidden="false" customHeight="false" outlineLevel="0" collapsed="false">
      <c r="A27" s="24"/>
      <c r="B27" s="24"/>
      <c r="C27" s="24"/>
      <c r="D27" s="25"/>
      <c r="E27" s="26" t="str">
        <f aca="false">IF(B27="","",IFERROR(INDEX('Pollster Methods'!$C$5:$C$20,MATCH(B27,'Pollster Methods'!$A$5:$A$20,0)),"Not listed"))</f>
        <v/>
      </c>
      <c r="F27" s="27"/>
      <c r="G27" s="28" t="str">
        <f aca="false">IF(N(F27)=0,"",1.96*SQRT(0.25/F27))</f>
        <v/>
      </c>
      <c r="H27" s="29"/>
      <c r="I27" s="29"/>
      <c r="J27" s="29"/>
      <c r="K27" s="29"/>
      <c r="L27" s="29"/>
      <c r="M27" s="29"/>
      <c r="N27" s="29"/>
      <c r="O27" s="28" t="str">
        <f aca="false">IF(COUNT(H27:N27)=0,"",MAX(0,1-SUM(H27:N27)))</f>
        <v/>
      </c>
      <c r="P27" s="24"/>
      <c r="Q27" s="24"/>
    </row>
    <row r="28" customFormat="false" ht="15" hidden="false" customHeight="false" outlineLevel="0" collapsed="false">
      <c r="A28" s="24"/>
      <c r="B28" s="24"/>
      <c r="C28" s="24"/>
      <c r="D28" s="25"/>
      <c r="E28" s="26" t="str">
        <f aca="false">IF(B28="","",IFERROR(INDEX('Pollster Methods'!$C$5:$C$20,MATCH(B28,'Pollster Methods'!$A$5:$A$20,0)),"Not listed"))</f>
        <v/>
      </c>
      <c r="F28" s="27"/>
      <c r="G28" s="28" t="str">
        <f aca="false">IF(N(F28)=0,"",1.96*SQRT(0.25/F28))</f>
        <v/>
      </c>
      <c r="H28" s="29"/>
      <c r="I28" s="29"/>
      <c r="J28" s="29"/>
      <c r="K28" s="29"/>
      <c r="L28" s="29"/>
      <c r="M28" s="29"/>
      <c r="N28" s="29"/>
      <c r="O28" s="28" t="str">
        <f aca="false">IF(COUNT(H28:N28)=0,"",MAX(0,1-SUM(H28:N28)))</f>
        <v/>
      </c>
      <c r="P28" s="24"/>
      <c r="Q28" s="24"/>
    </row>
    <row r="29" customFormat="false" ht="15" hidden="false" customHeight="false" outlineLevel="0" collapsed="false">
      <c r="A29" s="24"/>
      <c r="B29" s="24"/>
      <c r="C29" s="24"/>
      <c r="D29" s="25"/>
      <c r="E29" s="26" t="str">
        <f aca="false">IF(B29="","",IFERROR(INDEX('Pollster Methods'!$C$5:$C$20,MATCH(B29,'Pollster Methods'!$A$5:$A$20,0)),"Not listed"))</f>
        <v/>
      </c>
      <c r="F29" s="27"/>
      <c r="G29" s="28" t="str">
        <f aca="false">IF(N(F29)=0,"",1.96*SQRT(0.25/F29))</f>
        <v/>
      </c>
      <c r="H29" s="29"/>
      <c r="I29" s="29"/>
      <c r="J29" s="29"/>
      <c r="K29" s="29"/>
      <c r="L29" s="29"/>
      <c r="M29" s="29"/>
      <c r="N29" s="29"/>
      <c r="O29" s="28" t="str">
        <f aca="false">IF(COUNT(H29:N29)=0,"",MAX(0,1-SUM(H29:N29)))</f>
        <v/>
      </c>
      <c r="P29" s="24"/>
      <c r="Q29" s="24"/>
    </row>
    <row r="30" customFormat="false" ht="15" hidden="false" customHeight="false" outlineLevel="0" collapsed="false">
      <c r="A30" s="24"/>
      <c r="B30" s="24"/>
      <c r="C30" s="24"/>
      <c r="D30" s="25"/>
      <c r="E30" s="26" t="str">
        <f aca="false">IF(B30="","",IFERROR(INDEX('Pollster Methods'!$C$5:$C$20,MATCH(B30,'Pollster Methods'!$A$5:$A$20,0)),"Not listed"))</f>
        <v/>
      </c>
      <c r="F30" s="27"/>
      <c r="G30" s="28" t="str">
        <f aca="false">IF(N(F30)=0,"",1.96*SQRT(0.25/F30))</f>
        <v/>
      </c>
      <c r="H30" s="29"/>
      <c r="I30" s="29"/>
      <c r="J30" s="29"/>
      <c r="K30" s="29"/>
      <c r="L30" s="29"/>
      <c r="M30" s="29"/>
      <c r="N30" s="29"/>
      <c r="O30" s="28" t="str">
        <f aca="false">IF(COUNT(H30:N30)=0,"",MAX(0,1-SUM(H30:N30)))</f>
        <v/>
      </c>
      <c r="P30" s="24"/>
      <c r="Q30" s="24"/>
    </row>
    <row r="31" customFormat="false" ht="15" hidden="false" customHeight="false" outlineLevel="0" collapsed="false">
      <c r="A31" s="24"/>
      <c r="B31" s="24"/>
      <c r="C31" s="24"/>
      <c r="D31" s="25"/>
      <c r="E31" s="26" t="str">
        <f aca="false">IF(B31="","",IFERROR(INDEX('Pollster Methods'!$C$5:$C$20,MATCH(B31,'Pollster Methods'!$A$5:$A$20,0)),"Not listed"))</f>
        <v/>
      </c>
      <c r="F31" s="27"/>
      <c r="G31" s="28" t="str">
        <f aca="false">IF(N(F31)=0,"",1.96*SQRT(0.25/F31))</f>
        <v/>
      </c>
      <c r="H31" s="29"/>
      <c r="I31" s="29"/>
      <c r="J31" s="29"/>
      <c r="K31" s="29"/>
      <c r="L31" s="29"/>
      <c r="M31" s="29"/>
      <c r="N31" s="29"/>
      <c r="O31" s="28" t="str">
        <f aca="false">IF(COUNT(H31:N31)=0,"",MAX(0,1-SUM(H31:N31)))</f>
        <v/>
      </c>
      <c r="P31" s="24"/>
      <c r="Q31" s="24"/>
    </row>
    <row r="32" customFormat="false" ht="15" hidden="false" customHeight="false" outlineLevel="0" collapsed="false">
      <c r="A32" s="24"/>
      <c r="B32" s="24"/>
      <c r="C32" s="24"/>
      <c r="D32" s="25"/>
      <c r="E32" s="26" t="str">
        <f aca="false">IF(B32="","",IFERROR(INDEX('Pollster Methods'!$C$5:$C$20,MATCH(B32,'Pollster Methods'!$A$5:$A$20,0)),"Not listed"))</f>
        <v/>
      </c>
      <c r="F32" s="27"/>
      <c r="G32" s="28" t="str">
        <f aca="false">IF(N(F32)=0,"",1.96*SQRT(0.25/F32))</f>
        <v/>
      </c>
      <c r="H32" s="29"/>
      <c r="I32" s="29"/>
      <c r="J32" s="29"/>
      <c r="K32" s="29"/>
      <c r="L32" s="29"/>
      <c r="M32" s="29"/>
      <c r="N32" s="29"/>
      <c r="O32" s="28" t="str">
        <f aca="false">IF(COUNT(H32:N32)=0,"",MAX(0,1-SUM(H32:N32)))</f>
        <v/>
      </c>
      <c r="P32" s="24"/>
      <c r="Q32" s="24"/>
    </row>
    <row r="33" customFormat="false" ht="15" hidden="false" customHeight="false" outlineLevel="0" collapsed="false">
      <c r="A33" s="24"/>
      <c r="B33" s="24"/>
      <c r="C33" s="24"/>
      <c r="D33" s="25"/>
      <c r="E33" s="26" t="str">
        <f aca="false">IF(B33="","",IFERROR(INDEX('Pollster Methods'!$C$5:$C$20,MATCH(B33,'Pollster Methods'!$A$5:$A$20,0)),"Not listed"))</f>
        <v/>
      </c>
      <c r="F33" s="27"/>
      <c r="G33" s="28" t="str">
        <f aca="false">IF(N(F33)=0,"",1.96*SQRT(0.25/F33))</f>
        <v/>
      </c>
      <c r="H33" s="29"/>
      <c r="I33" s="29"/>
      <c r="J33" s="29"/>
      <c r="K33" s="29"/>
      <c r="L33" s="29"/>
      <c r="M33" s="29"/>
      <c r="N33" s="29"/>
      <c r="O33" s="28" t="str">
        <f aca="false">IF(COUNT(H33:N33)=0,"",MAX(0,1-SUM(H33:N33)))</f>
        <v/>
      </c>
      <c r="P33" s="24"/>
      <c r="Q33" s="24"/>
    </row>
    <row r="34" customFormat="false" ht="15" hidden="false" customHeight="false" outlineLevel="0" collapsed="false">
      <c r="A34" s="24"/>
      <c r="B34" s="24"/>
      <c r="C34" s="24"/>
      <c r="D34" s="25"/>
      <c r="E34" s="26" t="str">
        <f aca="false">IF(B34="","",IFERROR(INDEX('Pollster Methods'!$C$5:$C$20,MATCH(B34,'Pollster Methods'!$A$5:$A$20,0)),"Not listed"))</f>
        <v/>
      </c>
      <c r="F34" s="27"/>
      <c r="G34" s="28" t="str">
        <f aca="false">IF(N(F34)=0,"",1.96*SQRT(0.25/F34))</f>
        <v/>
      </c>
      <c r="H34" s="29"/>
      <c r="I34" s="29"/>
      <c r="J34" s="29"/>
      <c r="K34" s="29"/>
      <c r="L34" s="29"/>
      <c r="M34" s="29"/>
      <c r="N34" s="29"/>
      <c r="O34" s="28" t="str">
        <f aca="false">IF(COUNT(H34:N34)=0,"",MAX(0,1-SUM(H34:N34)))</f>
        <v/>
      </c>
      <c r="P34" s="24"/>
      <c r="Q34" s="24"/>
    </row>
    <row r="35" customFormat="false" ht="15" hidden="false" customHeight="false" outlineLevel="0" collapsed="false">
      <c r="A35" s="24"/>
      <c r="B35" s="24"/>
      <c r="C35" s="24"/>
      <c r="D35" s="25"/>
      <c r="E35" s="26" t="str">
        <f aca="false">IF(B35="","",IFERROR(INDEX('Pollster Methods'!$C$5:$C$20,MATCH(B35,'Pollster Methods'!$A$5:$A$20,0)),"Not listed"))</f>
        <v/>
      </c>
      <c r="F35" s="27"/>
      <c r="G35" s="28" t="str">
        <f aca="false">IF(N(F35)=0,"",1.96*SQRT(0.25/F35))</f>
        <v/>
      </c>
      <c r="H35" s="29"/>
      <c r="I35" s="29"/>
      <c r="J35" s="29"/>
      <c r="K35" s="29"/>
      <c r="L35" s="29"/>
      <c r="M35" s="29"/>
      <c r="N35" s="29"/>
      <c r="O35" s="28" t="str">
        <f aca="false">IF(COUNT(H35:N35)=0,"",MAX(0,1-SUM(H35:N35)))</f>
        <v/>
      </c>
      <c r="P35" s="24"/>
      <c r="Q35" s="24"/>
    </row>
    <row r="37" customFormat="false" ht="15" hidden="false" customHeight="false" outlineLevel="0" collapsed="false">
      <c r="A37" s="6" t="s">
        <v>155</v>
      </c>
      <c r="F37" s="30" t="n">
        <f aca="false">COUNTIF(P6:P35,"Y")</f>
        <v>9</v>
      </c>
      <c r="H37" s="31" t="n">
        <f aca="false">IFERROR(AVERAGEIFS(H6:H35,$P$6:$P$35,"Y",H6:H35,"&lt;&gt;"),"")</f>
        <v>0.284888888888889</v>
      </c>
      <c r="I37" s="31" t="n">
        <f aca="false">IFERROR(AVERAGEIFS(I6:I35,$P$6:$P$35,"Y",I6:I35,"&lt;&gt;"),"")</f>
        <v>0.279333333333333</v>
      </c>
      <c r="J37" s="31" t="n">
        <f aca="false">IFERROR(AVERAGEIFS(J6:J35,$P$6:$P$35,"Y",J6:J35,"&lt;&gt;"),"")</f>
        <v>0.145555555555556</v>
      </c>
      <c r="K37" s="31" t="n">
        <f aca="false">IFERROR(AVERAGEIFS(K6:K35,$P$6:$P$35,"Y",K6:K35,"&lt;&gt;"),"")</f>
        <v>0.0963333333333333</v>
      </c>
      <c r="L37" s="31" t="n">
        <f aca="false">IFERROR(AVERAGEIFS(L6:L35,$P$6:$P$35,"Y",L6:L35,"&lt;&gt;"),"")</f>
        <v>0.103333333333333</v>
      </c>
      <c r="M37" s="31" t="n">
        <f aca="false">IFERROR(AVERAGEIFS(M6:M35,$P$6:$P$35,"Y",M6:M35,"&lt;&gt;"),"")</f>
        <v>0.0145</v>
      </c>
      <c r="N37" s="31" t="n">
        <f aca="false">IFERROR(AVERAGEIFS(N6:N35,$P$6:$P$35,"Y",N6:N35,"&lt;&gt;"),"")</f>
        <v>0.0614444444444445</v>
      </c>
    </row>
    <row r="38" customFormat="false" ht="15" hidden="false" customHeight="false" outlineLevel="0" collapsed="false">
      <c r="A38" s="8" t="s">
        <v>156</v>
      </c>
    </row>
  </sheetData>
  <dataValidations count="2">
    <dataValidation allowBlank="true" errorStyle="stop" operator="between" showDropDown="false" showErrorMessage="false" showInputMessage="false" sqref="P6:P35" type="list">
      <formula1>"Y,N"</formula1>
      <formula2>0</formula2>
    </dataValidation>
    <dataValidation allowBlank="true" errorStyle="stop" operator="between" showDropDown="false" showErrorMessage="false" showInputMessage="false" sqref="B6:B35" type="list">
      <formula1>'Pollster Methods'!$A$5:$A$20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5" t="s">
        <v>157</v>
      </c>
    </row>
    <row r="2" customFormat="false" ht="15" hidden="false" customHeight="false" outlineLevel="0" collapsed="false">
      <c r="A2" s="21" t="s">
        <v>158</v>
      </c>
    </row>
    <row r="4" customFormat="false" ht="26.85" hidden="false" customHeight="false" outlineLevel="0" collapsed="false">
      <c r="A4" s="9" t="s">
        <v>75</v>
      </c>
      <c r="B4" s="9" t="s">
        <v>159</v>
      </c>
      <c r="C4" s="9" t="s">
        <v>160</v>
      </c>
      <c r="D4" s="9" t="s">
        <v>161</v>
      </c>
      <c r="E4" s="9" t="s">
        <v>162</v>
      </c>
      <c r="F4" s="9" t="s">
        <v>163</v>
      </c>
      <c r="G4" s="9" t="s">
        <v>164</v>
      </c>
      <c r="H4" s="9" t="s">
        <v>165</v>
      </c>
    </row>
    <row r="5" customFormat="false" ht="26.85" hidden="false" customHeight="false" outlineLevel="0" collapsed="false">
      <c r="A5" s="32" t="s">
        <v>118</v>
      </c>
      <c r="B5" s="32" t="s">
        <v>166</v>
      </c>
      <c r="C5" s="32" t="s">
        <v>167</v>
      </c>
      <c r="D5" s="32" t="s">
        <v>168</v>
      </c>
      <c r="E5" s="32" t="s">
        <v>169</v>
      </c>
      <c r="F5" s="32" t="s">
        <v>170</v>
      </c>
      <c r="G5" s="32" t="s">
        <v>171</v>
      </c>
      <c r="H5" s="33" t="s">
        <v>172</v>
      </c>
    </row>
    <row r="6" customFormat="false" ht="26.85" hidden="false" customHeight="false" outlineLevel="0" collapsed="false">
      <c r="A6" s="32" t="s">
        <v>113</v>
      </c>
      <c r="B6" s="32" t="s">
        <v>173</v>
      </c>
      <c r="C6" s="32" t="s">
        <v>174</v>
      </c>
      <c r="D6" s="32" t="s">
        <v>175</v>
      </c>
      <c r="E6" s="32" t="s">
        <v>176</v>
      </c>
      <c r="F6" s="32" t="s">
        <v>177</v>
      </c>
      <c r="G6" s="32" t="s">
        <v>178</v>
      </c>
      <c r="H6" s="33" t="s">
        <v>179</v>
      </c>
    </row>
    <row r="7" customFormat="false" ht="26.85" hidden="false" customHeight="false" outlineLevel="0" collapsed="false">
      <c r="A7" s="32" t="s">
        <v>124</v>
      </c>
      <c r="B7" s="32" t="s">
        <v>180</v>
      </c>
      <c r="C7" s="32" t="s">
        <v>181</v>
      </c>
      <c r="D7" s="32" t="s">
        <v>182</v>
      </c>
      <c r="E7" s="32" t="s">
        <v>169</v>
      </c>
      <c r="F7" s="32" t="s">
        <v>183</v>
      </c>
      <c r="G7" s="32" t="s">
        <v>184</v>
      </c>
      <c r="H7" s="33" t="s">
        <v>185</v>
      </c>
    </row>
    <row r="8" customFormat="false" ht="26.85" hidden="false" customHeight="false" outlineLevel="0" collapsed="false">
      <c r="A8" s="32" t="s">
        <v>131</v>
      </c>
      <c r="B8" s="32" t="s">
        <v>186</v>
      </c>
      <c r="C8" s="32" t="s">
        <v>187</v>
      </c>
      <c r="D8" s="32" t="s">
        <v>188</v>
      </c>
      <c r="E8" s="32" t="s">
        <v>189</v>
      </c>
      <c r="F8" s="32" t="s">
        <v>170</v>
      </c>
      <c r="G8" s="32" t="s">
        <v>190</v>
      </c>
      <c r="H8" s="33" t="s">
        <v>191</v>
      </c>
    </row>
    <row r="9" customFormat="false" ht="26.85" hidden="false" customHeight="false" outlineLevel="0" collapsed="false">
      <c r="A9" s="32" t="s">
        <v>150</v>
      </c>
      <c r="B9" s="32" t="s">
        <v>192</v>
      </c>
      <c r="C9" s="32" t="s">
        <v>193</v>
      </c>
      <c r="D9" s="32" t="s">
        <v>193</v>
      </c>
      <c r="E9" s="32" t="s">
        <v>194</v>
      </c>
      <c r="F9" s="32" t="s">
        <v>170</v>
      </c>
      <c r="G9" s="32" t="s">
        <v>195</v>
      </c>
      <c r="H9" s="33" t="s">
        <v>196</v>
      </c>
    </row>
    <row r="10" customFormat="false" ht="26.85" hidden="false" customHeight="false" outlineLevel="0" collapsed="false">
      <c r="A10" s="32" t="s">
        <v>135</v>
      </c>
      <c r="B10" s="32" t="s">
        <v>197</v>
      </c>
      <c r="C10" s="32" t="s">
        <v>198</v>
      </c>
      <c r="D10" s="32" t="s">
        <v>199</v>
      </c>
      <c r="E10" s="32" t="s">
        <v>176</v>
      </c>
      <c r="F10" s="32" t="s">
        <v>200</v>
      </c>
      <c r="G10" s="32" t="s">
        <v>201</v>
      </c>
      <c r="H10" s="33" t="s">
        <v>202</v>
      </c>
    </row>
    <row r="11" customFormat="false" ht="26.85" hidden="false" customHeight="false" outlineLevel="0" collapsed="false">
      <c r="A11" s="32" t="s">
        <v>138</v>
      </c>
      <c r="B11" s="32" t="s">
        <v>203</v>
      </c>
      <c r="C11" s="32" t="s">
        <v>203</v>
      </c>
      <c r="D11" s="32" t="s">
        <v>203</v>
      </c>
      <c r="E11" s="32" t="s">
        <v>204</v>
      </c>
      <c r="F11" s="32" t="s">
        <v>200</v>
      </c>
      <c r="G11" s="32" t="s">
        <v>205</v>
      </c>
      <c r="H11" s="3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70"/>
    <col collapsed="false" customWidth="true" hidden="false" outlineLevel="0" max="7" min="6" style="0" width="4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5" t="s">
        <v>207</v>
      </c>
    </row>
    <row r="2" customFormat="false" ht="15" hidden="false" customHeight="false" outlineLevel="0" collapsed="false">
      <c r="A2" s="21" t="s">
        <v>208</v>
      </c>
    </row>
    <row r="3" customFormat="false" ht="15" hidden="false" customHeight="false" outlineLevel="0" collapsed="false">
      <c r="H3" s="6" t="s">
        <v>209</v>
      </c>
    </row>
    <row r="4" customFormat="false" ht="15" hidden="false" customHeight="false" outlineLevel="0" collapsed="false">
      <c r="A4" s="34" t="s">
        <v>210</v>
      </c>
      <c r="B4" s="35" t="n">
        <v>120</v>
      </c>
      <c r="C4" s="8" t="s">
        <v>211</v>
      </c>
      <c r="H4" s="34" t="s">
        <v>21</v>
      </c>
    </row>
    <row r="5" customFormat="false" ht="15" hidden="false" customHeight="false" outlineLevel="0" collapsed="false">
      <c r="A5" s="34" t="s">
        <v>212</v>
      </c>
      <c r="B5" s="36" t="n">
        <v>0.05</v>
      </c>
      <c r="C5" s="8" t="s">
        <v>213</v>
      </c>
      <c r="H5" s="37" t="str">
        <f aca="false">IF(Polls!A6="","",Polls!A6)</f>
        <v>Verian 12 Oct</v>
      </c>
    </row>
    <row r="6" customFormat="false" ht="15" hidden="false" customHeight="false" outlineLevel="0" collapsed="false">
      <c r="A6" s="34" t="s">
        <v>214</v>
      </c>
      <c r="B6" s="38" t="n">
        <v>2900000</v>
      </c>
      <c r="C6" s="8" t="s">
        <v>215</v>
      </c>
      <c r="H6" s="37" t="str">
        <f aca="false">IF(Polls!A7="","",Polls!A7)</f>
        <v>Curia Oct</v>
      </c>
    </row>
    <row r="7" customFormat="false" ht="15" hidden="false" customHeight="false" outlineLevel="0" collapsed="false">
      <c r="A7" s="34" t="s">
        <v>216</v>
      </c>
      <c r="B7" s="39" t="n">
        <v>0.0025</v>
      </c>
      <c r="C7" s="8" t="s">
        <v>217</v>
      </c>
      <c r="H7" s="37" t="str">
        <f aca="false">IF(Polls!A8="","",Polls!A8)</f>
        <v>Verian 5 Oct</v>
      </c>
    </row>
    <row r="8" customFormat="false" ht="15" hidden="false" customHeight="false" outlineLevel="0" collapsed="false">
      <c r="A8" s="34" t="s">
        <v>218</v>
      </c>
      <c r="B8" s="39" t="n">
        <v>0.005</v>
      </c>
      <c r="C8" s="8" t="s">
        <v>219</v>
      </c>
      <c r="H8" s="37" t="str">
        <f aca="false">IF(Polls!A9="","",Polls!A9)</f>
        <v>Reid Oct</v>
      </c>
    </row>
    <row r="9" customFormat="false" ht="15" hidden="false" customHeight="false" outlineLevel="0" collapsed="false">
      <c r="A9" s="34" t="s">
        <v>220</v>
      </c>
      <c r="B9" s="39" t="n">
        <v>0.01</v>
      </c>
      <c r="C9" s="8" t="s">
        <v>221</v>
      </c>
      <c r="H9" s="37" t="str">
        <f aca="false">IF(Polls!A10="","",Polls!A10)</f>
        <v>Verian 27 Sep</v>
      </c>
    </row>
    <row r="10" customFormat="false" ht="15" hidden="false" customHeight="false" outlineLevel="0" collapsed="false">
      <c r="A10" s="34" t="s">
        <v>222</v>
      </c>
      <c r="B10" s="35" t="n">
        <v>0</v>
      </c>
      <c r="C10" s="8" t="s">
        <v>223</v>
      </c>
      <c r="H10" s="37" t="str">
        <f aca="false">IF(Polls!A11="","",Polls!A11)</f>
        <v>Roy Morgan Sep</v>
      </c>
    </row>
    <row r="11" customFormat="false" ht="15" hidden="false" customHeight="false" outlineLevel="0" collapsed="false">
      <c r="H11" s="37" t="str">
        <f aca="false">IF(Polls!A12="","",Polls!A12)</f>
        <v>Freshwater Sep</v>
      </c>
    </row>
    <row r="12" customFormat="false" ht="15" hidden="false" customHeight="false" outlineLevel="0" collapsed="false">
      <c r="A12" s="6" t="s">
        <v>224</v>
      </c>
      <c r="H12" s="37" t="str">
        <f aca="false">IF(Polls!A13="","",Polls!A13)</f>
        <v>Anacta Sep</v>
      </c>
    </row>
    <row r="13" customFormat="false" ht="15" hidden="false" customHeight="false" outlineLevel="0" collapsed="false">
      <c r="A13" s="9" t="s">
        <v>24</v>
      </c>
      <c r="B13" s="9" t="s">
        <v>23</v>
      </c>
      <c r="C13" s="9" t="s">
        <v>28</v>
      </c>
      <c r="D13" s="9" t="s">
        <v>225</v>
      </c>
      <c r="E13" s="9" t="s">
        <v>226</v>
      </c>
      <c r="H13" s="37" t="str">
        <f aca="false">IF(Polls!A14="","",Polls!A14)</f>
        <v>Curia Sep</v>
      </c>
    </row>
    <row r="14" customFormat="false" ht="15" hidden="false" customHeight="false" outlineLevel="0" collapsed="false">
      <c r="A14" s="34" t="s">
        <v>41</v>
      </c>
      <c r="B14" s="34" t="s">
        <v>40</v>
      </c>
      <c r="C14" s="7" t="n">
        <v>0</v>
      </c>
      <c r="D14" s="24" t="s">
        <v>62</v>
      </c>
      <c r="E14" s="8" t="s">
        <v>227</v>
      </c>
      <c r="H14" s="37" t="str">
        <f aca="false">IF(Polls!A15="","",Polls!A15)</f>
        <v>Roy Morgan Aug</v>
      </c>
    </row>
    <row r="15" customFormat="false" ht="15" hidden="false" customHeight="false" outlineLevel="0" collapsed="false">
      <c r="A15" s="34" t="s">
        <v>43</v>
      </c>
      <c r="B15" s="34" t="s">
        <v>42</v>
      </c>
      <c r="C15" s="7" t="n">
        <v>0</v>
      </c>
      <c r="D15" s="24" t="s">
        <v>63</v>
      </c>
      <c r="E15" s="8" t="s">
        <v>228</v>
      </c>
      <c r="H15" s="37" t="str">
        <f aca="false">IF(Polls!A16="","",Polls!A16)</f>
        <v>Reid Aug</v>
      </c>
    </row>
    <row r="16" customFormat="false" ht="15" hidden="false" customHeight="false" outlineLevel="0" collapsed="false">
      <c r="A16" s="34" t="s">
        <v>45</v>
      </c>
      <c r="B16" s="34" t="s">
        <v>44</v>
      </c>
      <c r="C16" s="7" t="n">
        <v>3</v>
      </c>
      <c r="D16" s="24" t="s">
        <v>63</v>
      </c>
      <c r="E16" s="8" t="s">
        <v>229</v>
      </c>
      <c r="H16" s="37" t="str">
        <f aca="false">IF(Polls!A17="","",Polls!A17)</f>
        <v>Verian Aug</v>
      </c>
    </row>
    <row r="17" customFormat="false" ht="15" hidden="false" customHeight="false" outlineLevel="0" collapsed="false">
      <c r="A17" s="34" t="s">
        <v>46</v>
      </c>
      <c r="B17" s="34" t="s">
        <v>46</v>
      </c>
      <c r="C17" s="7" t="n">
        <v>2</v>
      </c>
      <c r="D17" s="24" t="s">
        <v>62</v>
      </c>
      <c r="E17" s="8" t="s">
        <v>230</v>
      </c>
      <c r="H17" s="37" t="str">
        <f aca="false">IF(Polls!A18="","",Polls!A18)</f>
        <v>Talbot Mills Aug</v>
      </c>
    </row>
    <row r="18" customFormat="false" ht="15" hidden="false" customHeight="false" outlineLevel="0" collapsed="false">
      <c r="A18" s="34" t="s">
        <v>48</v>
      </c>
      <c r="B18" s="34" t="s">
        <v>47</v>
      </c>
      <c r="C18" s="7" t="n">
        <v>0</v>
      </c>
      <c r="D18" s="24" t="s">
        <v>62</v>
      </c>
      <c r="E18" s="8" t="s">
        <v>231</v>
      </c>
      <c r="H18" s="37" t="str">
        <f aca="false">IF(Polls!A19="","",Polls!A19)</f>
        <v>Curia Aug</v>
      </c>
    </row>
    <row r="19" customFormat="false" ht="15" hidden="false" customHeight="false" outlineLevel="0" collapsed="false">
      <c r="A19" s="34" t="s">
        <v>50</v>
      </c>
      <c r="B19" s="34" t="s">
        <v>49</v>
      </c>
      <c r="C19" s="7" t="n">
        <v>4</v>
      </c>
      <c r="D19" s="24" t="s">
        <v>63</v>
      </c>
      <c r="E19" s="8" t="s">
        <v>232</v>
      </c>
      <c r="H19" s="37" t="str">
        <f aca="false">IF(Polls!A20="","",Polls!A20)</f>
        <v/>
      </c>
    </row>
    <row r="20" customFormat="false" ht="15" hidden="false" customHeight="false" outlineLevel="0" collapsed="false">
      <c r="A20" s="34" t="s">
        <v>52</v>
      </c>
      <c r="B20" s="34" t="s">
        <v>51</v>
      </c>
      <c r="C20" s="7" t="n">
        <v>0</v>
      </c>
      <c r="D20" s="24" t="s">
        <v>64</v>
      </c>
      <c r="E20" s="8" t="s">
        <v>233</v>
      </c>
      <c r="H20" s="37" t="str">
        <f aca="false">IF(Polls!A21="","",Polls!A21)</f>
        <v/>
      </c>
    </row>
    <row r="21" customFormat="false" ht="15" hidden="false" customHeight="false" outlineLevel="0" collapsed="false">
      <c r="H21" s="37" t="str">
        <f aca="false">IF(Polls!A22="","",Polls!A22)</f>
        <v/>
      </c>
    </row>
    <row r="22" customFormat="false" ht="15" hidden="false" customHeight="false" outlineLevel="0" collapsed="false">
      <c r="A22" s="8" t="s">
        <v>234</v>
      </c>
      <c r="H22" s="37" t="str">
        <f aca="false">IF(Polls!A23="","",Polls!A23)</f>
        <v/>
      </c>
    </row>
    <row r="23" customFormat="false" ht="15" hidden="false" customHeight="false" outlineLevel="0" collapsed="false">
      <c r="H23" s="37" t="str">
        <f aca="false">IF(Polls!A24="","",Polls!A24)</f>
        <v/>
      </c>
    </row>
    <row r="24" customFormat="false" ht="15" hidden="false" customHeight="false" outlineLevel="0" collapsed="false">
      <c r="H24" s="37" t="str">
        <f aca="false">IF(Polls!A25="","",Polls!A25)</f>
        <v/>
      </c>
    </row>
    <row r="25" customFormat="false" ht="15" hidden="false" customHeight="false" outlineLevel="0" collapsed="false">
      <c r="H25" s="37" t="str">
        <f aca="false">IF(Polls!A26="","",Polls!A26)</f>
        <v/>
      </c>
    </row>
    <row r="26" customFormat="false" ht="15" hidden="false" customHeight="false" outlineLevel="0" collapsed="false">
      <c r="H26" s="37" t="str">
        <f aca="false">IF(Polls!A27="","",Polls!A27)</f>
        <v/>
      </c>
    </row>
    <row r="27" customFormat="false" ht="15" hidden="false" customHeight="false" outlineLevel="0" collapsed="false">
      <c r="H27" s="37" t="str">
        <f aca="false">IF(Polls!A28="","",Polls!A28)</f>
        <v/>
      </c>
    </row>
    <row r="28" customFormat="false" ht="15" hidden="false" customHeight="false" outlineLevel="0" collapsed="false">
      <c r="H28" s="37" t="str">
        <f aca="false">IF(Polls!A29="","",Polls!A29)</f>
        <v/>
      </c>
    </row>
    <row r="29" customFormat="false" ht="15" hidden="false" customHeight="false" outlineLevel="0" collapsed="false">
      <c r="H29" s="37" t="str">
        <f aca="false">IF(Polls!A30="","",Polls!A30)</f>
        <v/>
      </c>
    </row>
    <row r="30" customFormat="false" ht="15" hidden="false" customHeight="false" outlineLevel="0" collapsed="false">
      <c r="H30" s="37" t="str">
        <f aca="false">IF(Polls!A31="","",Polls!A31)</f>
        <v/>
      </c>
    </row>
    <row r="31" customFormat="false" ht="15" hidden="false" customHeight="false" outlineLevel="0" collapsed="false">
      <c r="H31" s="37" t="str">
        <f aca="false">IF(Polls!A32="","",Polls!A32)</f>
        <v/>
      </c>
    </row>
    <row r="32" customFormat="false" ht="15" hidden="false" customHeight="false" outlineLevel="0" collapsed="false">
      <c r="H32" s="37" t="str">
        <f aca="false">IF(Polls!A33="","",Polls!A33)</f>
        <v/>
      </c>
    </row>
    <row r="33" customFormat="false" ht="15" hidden="false" customHeight="false" outlineLevel="0" collapsed="false">
      <c r="H33" s="37" t="str">
        <f aca="false">IF(Polls!A34="","",Polls!A34)</f>
        <v/>
      </c>
    </row>
    <row r="34" customFormat="false" ht="15" hidden="false" customHeight="false" outlineLevel="0" collapsed="false">
      <c r="H34" s="37" t="str">
        <f aca="false">IF(Polls!A35="","",Polls!A35)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2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6" t="s">
        <v>235</v>
      </c>
      <c r="B1" s="8" t="s">
        <v>236</v>
      </c>
      <c r="C1" s="40" t="n">
        <v>1</v>
      </c>
      <c r="D1" s="40" t="n">
        <v>3</v>
      </c>
      <c r="E1" s="40" t="n">
        <v>5</v>
      </c>
      <c r="F1" s="40" t="n">
        <v>7</v>
      </c>
      <c r="G1" s="40" t="n">
        <v>9</v>
      </c>
      <c r="H1" s="40" t="n">
        <v>11</v>
      </c>
      <c r="I1" s="40" t="n">
        <v>13</v>
      </c>
      <c r="J1" s="40" t="n">
        <v>15</v>
      </c>
      <c r="K1" s="40" t="n">
        <v>17</v>
      </c>
      <c r="L1" s="40" t="n">
        <v>19</v>
      </c>
      <c r="M1" s="40" t="n">
        <v>21</v>
      </c>
      <c r="N1" s="40" t="n">
        <v>23</v>
      </c>
      <c r="O1" s="40" t="n">
        <v>25</v>
      </c>
      <c r="P1" s="40" t="n">
        <v>27</v>
      </c>
      <c r="Q1" s="40" t="n">
        <v>29</v>
      </c>
      <c r="R1" s="40" t="n">
        <v>31</v>
      </c>
      <c r="S1" s="40" t="n">
        <v>33</v>
      </c>
      <c r="T1" s="40" t="n">
        <v>35</v>
      </c>
      <c r="U1" s="40" t="n">
        <v>37</v>
      </c>
      <c r="V1" s="40" t="n">
        <v>39</v>
      </c>
      <c r="W1" s="40" t="n">
        <v>41</v>
      </c>
      <c r="X1" s="40" t="n">
        <v>43</v>
      </c>
      <c r="Y1" s="40" t="n">
        <v>45</v>
      </c>
      <c r="Z1" s="40" t="n">
        <v>47</v>
      </c>
      <c r="AA1" s="40" t="n">
        <v>49</v>
      </c>
      <c r="AB1" s="40" t="n">
        <v>51</v>
      </c>
      <c r="AC1" s="40" t="n">
        <v>53</v>
      </c>
      <c r="AD1" s="40" t="n">
        <v>55</v>
      </c>
      <c r="AE1" s="40" t="n">
        <v>57</v>
      </c>
      <c r="AF1" s="40" t="n">
        <v>59</v>
      </c>
      <c r="AG1" s="40" t="n">
        <v>61</v>
      </c>
      <c r="AH1" s="40" t="n">
        <v>63</v>
      </c>
      <c r="AI1" s="40" t="n">
        <v>65</v>
      </c>
      <c r="AJ1" s="40" t="n">
        <v>67</v>
      </c>
      <c r="AK1" s="40" t="n">
        <v>69</v>
      </c>
      <c r="AL1" s="40" t="n">
        <v>71</v>
      </c>
      <c r="AM1" s="40" t="n">
        <v>73</v>
      </c>
      <c r="AN1" s="40" t="n">
        <v>75</v>
      </c>
      <c r="AO1" s="40" t="n">
        <v>77</v>
      </c>
      <c r="AP1" s="40" t="n">
        <v>79</v>
      </c>
      <c r="AQ1" s="40" t="n">
        <v>81</v>
      </c>
      <c r="AR1" s="40" t="n">
        <v>83</v>
      </c>
      <c r="AS1" s="40" t="n">
        <v>85</v>
      </c>
      <c r="AT1" s="40" t="n">
        <v>87</v>
      </c>
      <c r="AU1" s="40" t="n">
        <v>89</v>
      </c>
      <c r="AV1" s="40" t="n">
        <v>91</v>
      </c>
      <c r="AW1" s="40" t="n">
        <v>93</v>
      </c>
      <c r="AX1" s="40" t="n">
        <v>95</v>
      </c>
      <c r="AY1" s="40" t="n">
        <v>97</v>
      </c>
      <c r="AZ1" s="40" t="n">
        <v>99</v>
      </c>
      <c r="BA1" s="40" t="n">
        <v>101</v>
      </c>
      <c r="BB1" s="40" t="n">
        <v>103</v>
      </c>
      <c r="BC1" s="40" t="n">
        <v>105</v>
      </c>
      <c r="BD1" s="40" t="n">
        <v>107</v>
      </c>
      <c r="BE1" s="40" t="n">
        <v>109</v>
      </c>
      <c r="BF1" s="40" t="n">
        <v>111</v>
      </c>
      <c r="BG1" s="40" t="n">
        <v>113</v>
      </c>
      <c r="BH1" s="40" t="n">
        <v>115</v>
      </c>
      <c r="BI1" s="40" t="n">
        <v>117</v>
      </c>
      <c r="BJ1" s="40" t="n">
        <v>119</v>
      </c>
    </row>
    <row r="2" customFormat="false" ht="15" hidden="false" customHeight="false" outlineLevel="0" collapsed="false">
      <c r="A2" s="6" t="s">
        <v>237</v>
      </c>
      <c r="B2" s="6" t="s">
        <v>238</v>
      </c>
      <c r="C2" s="6" t="s">
        <v>239</v>
      </c>
      <c r="D2" s="6" t="s">
        <v>240</v>
      </c>
      <c r="E2" s="6" t="s">
        <v>85</v>
      </c>
      <c r="F2" s="6" t="s">
        <v>86</v>
      </c>
      <c r="G2" s="6" t="s">
        <v>53</v>
      </c>
      <c r="BL2" s="6" t="s">
        <v>241</v>
      </c>
      <c r="BM2" s="6" t="s">
        <v>31</v>
      </c>
      <c r="BN2" s="6" t="s">
        <v>242</v>
      </c>
      <c r="BO2" s="6" t="s">
        <v>243</v>
      </c>
      <c r="BP2" s="6" t="s">
        <v>244</v>
      </c>
      <c r="BQ2" s="6" t="s">
        <v>245</v>
      </c>
      <c r="BR2" s="6" t="s">
        <v>86</v>
      </c>
      <c r="BS2" s="6" t="s">
        <v>246</v>
      </c>
      <c r="BT2" s="6" t="s">
        <v>247</v>
      </c>
    </row>
    <row r="3" customFormat="false" ht="15" hidden="false" customHeight="false" outlineLevel="0" collapsed="false">
      <c r="A3" s="41" t="str">
        <f aca="false">Polls!A6</f>
        <v>Verian 12 Oct</v>
      </c>
      <c r="B3" s="17" t="n">
        <f aca="false">IF(SUM(BS4:BS10)&gt;0,1,0)</f>
        <v>1</v>
      </c>
      <c r="C3" s="17" t="n">
        <f aca="false">IF(B3=1,LARGE(C4:BJ10,Settings!$B$4),0)</f>
        <v>0.00417910447761194</v>
      </c>
      <c r="D3" s="17" t="n">
        <f aca="false">IF(B3=1,LARGE(C4:BJ10,Settings!$B$4+1),0)</f>
        <v>0.00405797101449275</v>
      </c>
      <c r="E3" s="0" t="str">
        <f aca="false">IF(B3=1,IFERROR(INDEX(A4:A10,MATCH(1,BQ4:BQ10,0)),""),"")</f>
        <v>NAT</v>
      </c>
      <c r="F3" s="0" t="str">
        <f aca="false">IF(B3=1,IFERROR(INDEX(A4:A10,MATCH(1,BR4:BR10,0)),""),"")</f>
        <v>NAT</v>
      </c>
      <c r="G3" s="17" t="n">
        <f aca="false">IF(B3=1,SUM(BM4:BM10)+Settings!$B$10,"")</f>
        <v>124</v>
      </c>
    </row>
    <row r="4" customFormat="false" ht="15" hidden="false" customHeight="false" outlineLevel="0" collapsed="false">
      <c r="A4" s="0" t="s">
        <v>41</v>
      </c>
      <c r="B4" s="0" t="n">
        <f aca="false">IF(OR(BS4&gt;=Settings!$B$5,Settings!$C$14&gt;0),BS4,0)</f>
        <v>0.28</v>
      </c>
      <c r="C4" s="0" t="n">
        <f aca="false">$B4/C$1</f>
        <v>0.28</v>
      </c>
      <c r="D4" s="0" t="n">
        <f aca="false">$B4/D$1</f>
        <v>0.0933333333333333</v>
      </c>
      <c r="E4" s="0" t="n">
        <f aca="false">$B4/E$1</f>
        <v>0.056</v>
      </c>
      <c r="F4" s="0" t="n">
        <f aca="false">$B4/F$1</f>
        <v>0.04</v>
      </c>
      <c r="G4" s="0" t="n">
        <f aca="false">$B4/G$1</f>
        <v>0.0311111111111111</v>
      </c>
      <c r="H4" s="0" t="n">
        <f aca="false">$B4/H$1</f>
        <v>0.0254545454545455</v>
      </c>
      <c r="I4" s="0" t="n">
        <f aca="false">$B4/I$1</f>
        <v>0.0215384615384615</v>
      </c>
      <c r="J4" s="0" t="n">
        <f aca="false">$B4/J$1</f>
        <v>0.0186666666666667</v>
      </c>
      <c r="K4" s="0" t="n">
        <f aca="false">$B4/K$1</f>
        <v>0.0164705882352941</v>
      </c>
      <c r="L4" s="0" t="n">
        <f aca="false">$B4/L$1</f>
        <v>0.0147368421052632</v>
      </c>
      <c r="M4" s="0" t="n">
        <f aca="false">$B4/M$1</f>
        <v>0.0133333333333333</v>
      </c>
      <c r="N4" s="0" t="n">
        <f aca="false">$B4/N$1</f>
        <v>0.0121739130434783</v>
      </c>
      <c r="O4" s="0" t="n">
        <f aca="false">$B4/O$1</f>
        <v>0.0112</v>
      </c>
      <c r="P4" s="0" t="n">
        <f aca="false">$B4/P$1</f>
        <v>0.0103703703703704</v>
      </c>
      <c r="Q4" s="0" t="n">
        <f aca="false">$B4/Q$1</f>
        <v>0.0096551724137931</v>
      </c>
      <c r="R4" s="0" t="n">
        <f aca="false">$B4/R$1</f>
        <v>0.00903225806451613</v>
      </c>
      <c r="S4" s="0" t="n">
        <f aca="false">$B4/S$1</f>
        <v>0.00848484848484849</v>
      </c>
      <c r="T4" s="0" t="n">
        <f aca="false">$B4/T$1</f>
        <v>0.008</v>
      </c>
      <c r="U4" s="0" t="n">
        <f aca="false">$B4/U$1</f>
        <v>0.00756756756756757</v>
      </c>
      <c r="V4" s="0" t="n">
        <f aca="false">$B4/V$1</f>
        <v>0.00717948717948718</v>
      </c>
      <c r="W4" s="0" t="n">
        <f aca="false">$B4/W$1</f>
        <v>0.00682926829268293</v>
      </c>
      <c r="X4" s="0" t="n">
        <f aca="false">$B4/X$1</f>
        <v>0.00651162790697674</v>
      </c>
      <c r="Y4" s="0" t="n">
        <f aca="false">$B4/Y$1</f>
        <v>0.00622222222222222</v>
      </c>
      <c r="Z4" s="0" t="n">
        <f aca="false">$B4/Z$1</f>
        <v>0.00595744680851064</v>
      </c>
      <c r="AA4" s="0" t="n">
        <f aca="false">$B4/AA$1</f>
        <v>0.00571428571428572</v>
      </c>
      <c r="AB4" s="0" t="n">
        <f aca="false">$B4/AB$1</f>
        <v>0.00549019607843137</v>
      </c>
      <c r="AC4" s="0" t="n">
        <f aca="false">$B4/AC$1</f>
        <v>0.00528301886792453</v>
      </c>
      <c r="AD4" s="0" t="n">
        <f aca="false">$B4/AD$1</f>
        <v>0.00509090909090909</v>
      </c>
      <c r="AE4" s="0" t="n">
        <f aca="false">$B4/AE$1</f>
        <v>0.00491228070175439</v>
      </c>
      <c r="AF4" s="0" t="n">
        <f aca="false">$B4/AF$1</f>
        <v>0.00474576271186441</v>
      </c>
      <c r="AG4" s="0" t="n">
        <f aca="false">$B4/AG$1</f>
        <v>0.00459016393442623</v>
      </c>
      <c r="AH4" s="0" t="n">
        <f aca="false">$B4/AH$1</f>
        <v>0.00444444444444444</v>
      </c>
      <c r="AI4" s="0" t="n">
        <f aca="false">$B4/AI$1</f>
        <v>0.00430769230769231</v>
      </c>
      <c r="AJ4" s="0" t="n">
        <f aca="false">$B4/AJ$1</f>
        <v>0.00417910447761194</v>
      </c>
      <c r="AK4" s="0" t="n">
        <f aca="false">$B4/AK$1</f>
        <v>0.00405797101449275</v>
      </c>
      <c r="AL4" s="0" t="n">
        <f aca="false">$B4/AL$1</f>
        <v>0.00394366197183099</v>
      </c>
      <c r="AM4" s="0" t="n">
        <f aca="false">$B4/AM$1</f>
        <v>0.00383561643835616</v>
      </c>
      <c r="AN4" s="0" t="n">
        <f aca="false">$B4/AN$1</f>
        <v>0.00373333333333333</v>
      </c>
      <c r="AO4" s="0" t="n">
        <f aca="false">$B4/AO$1</f>
        <v>0.00363636363636364</v>
      </c>
      <c r="AP4" s="0" t="n">
        <f aca="false">$B4/AP$1</f>
        <v>0.00354430379746835</v>
      </c>
      <c r="AQ4" s="0" t="n">
        <f aca="false">$B4/AQ$1</f>
        <v>0.00345679012345679</v>
      </c>
      <c r="AR4" s="0" t="n">
        <f aca="false">$B4/AR$1</f>
        <v>0.00337349397590362</v>
      </c>
      <c r="AS4" s="0" t="n">
        <f aca="false">$B4/AS$1</f>
        <v>0.00329411764705882</v>
      </c>
      <c r="AT4" s="0" t="n">
        <f aca="false">$B4/AT$1</f>
        <v>0.0032183908045977</v>
      </c>
      <c r="AU4" s="0" t="n">
        <f aca="false">$B4/AU$1</f>
        <v>0.00314606741573034</v>
      </c>
      <c r="AV4" s="0" t="n">
        <f aca="false">$B4/AV$1</f>
        <v>0.00307692307692308</v>
      </c>
      <c r="AW4" s="0" t="n">
        <f aca="false">$B4/AW$1</f>
        <v>0.00301075268817204</v>
      </c>
      <c r="AX4" s="0" t="n">
        <f aca="false">$B4/AX$1</f>
        <v>0.00294736842105263</v>
      </c>
      <c r="AY4" s="0" t="n">
        <f aca="false">$B4/AY$1</f>
        <v>0.00288659793814433</v>
      </c>
      <c r="AZ4" s="0" t="n">
        <f aca="false">$B4/AZ$1</f>
        <v>0.00282828282828283</v>
      </c>
      <c r="BA4" s="0" t="n">
        <f aca="false">$B4/BA$1</f>
        <v>0.00277227722772277</v>
      </c>
      <c r="BB4" s="0" t="n">
        <f aca="false">$B4/BB$1</f>
        <v>0.00271844660194175</v>
      </c>
      <c r="BC4" s="0" t="n">
        <f aca="false">$B4/BC$1</f>
        <v>0.00266666666666667</v>
      </c>
      <c r="BD4" s="0" t="n">
        <f aca="false">$B4/BD$1</f>
        <v>0.00261682242990654</v>
      </c>
      <c r="BE4" s="0" t="n">
        <f aca="false">$B4/BE$1</f>
        <v>0.00256880733944954</v>
      </c>
      <c r="BF4" s="0" t="n">
        <f aca="false">$B4/BF$1</f>
        <v>0.00252252252252252</v>
      </c>
      <c r="BG4" s="0" t="n">
        <f aca="false">$B4/BG$1</f>
        <v>0.00247787610619469</v>
      </c>
      <c r="BH4" s="0" t="n">
        <f aca="false">$B4/BH$1</f>
        <v>0.00243478260869565</v>
      </c>
      <c r="BI4" s="0" t="n">
        <f aca="false">$B4/BI$1</f>
        <v>0.00239316239316239</v>
      </c>
      <c r="BJ4" s="0" t="n">
        <f aca="false">$B4/BJ$1</f>
        <v>0.00235294117647059</v>
      </c>
      <c r="BL4" s="0" t="n">
        <f aca="false">IF($B$3=1,COUNTIF(C4:BJ4,"&gt;="&amp;$C$3),0)</f>
        <v>34</v>
      </c>
      <c r="BM4" s="0" t="n">
        <f aca="false">IF($B$3=1,IF(OR(BS4&gt;=Settings!$B$5,Settings!$C$14&gt;0),MAX(BL4,Settings!$C$14),0),0)</f>
        <v>34</v>
      </c>
      <c r="BN4" s="0" t="n">
        <f aca="false">IF($B$3=1,IF(OR(BS4&gt;=Settings!$B$5,Settings!$C$14&gt;0),MAX(0,(2*MAX(BL4,Settings!$C$14)+1)*$C$3-BS4),MAX(0,Settings!$B$5-BS4)),"")</f>
        <v>0.00835820895522388</v>
      </c>
      <c r="BO4" s="0" t="n">
        <f aca="false">IF($B$3=1,IF(OR(BS4&gt;=Settings!$B$5,Settings!$C$14&gt;0),IF(BL4&lt;=Settings!$C$14,"Protected by electorates",IF(Settings!$C$14=0,MIN(BS4-(2*BL4-1)*$D$3,BS4-Settings!$B$5),BS4-(2*BL4-1)*$D$3)),""),"")</f>
        <v>0.00811594202898552</v>
      </c>
      <c r="BP4" s="0" t="n">
        <f aca="false">IF($B$3=1,IF(OR(BS4&gt;=Settings!$B$5,Settings!$C$14&gt;0),MAX(0,MIN(1,(BS4/$C$3-(2*MAX(BL4,Settings!$C$14)-1))/2)),MIN(1,BS4/Settings!$B$5)),"")</f>
        <v>0</v>
      </c>
      <c r="BQ4" s="0" t="n">
        <f aca="false">IF(AND($B$3=1,COUNTIF(C4:BJ4,$C$3)&gt;0),1,0)</f>
        <v>1</v>
      </c>
      <c r="BR4" s="0" t="n">
        <f aca="false">IF(AND($B$3=1,COUNTIF(C4:BJ4,$D$3)&gt;0),1,0)</f>
        <v>1</v>
      </c>
      <c r="BS4" s="0" t="n">
        <f aca="false">N(IF(Polls!H6="",Polls!H37,Polls!H6))</f>
        <v>0.28</v>
      </c>
      <c r="BT4" s="0" t="str">
        <f aca="false">IF(OR(BS4&gt;=Settings!$B$5,Settings!$C$14&gt;0),"Next seat","Threshold")</f>
        <v>Next seat</v>
      </c>
    </row>
    <row r="5" customFormat="false" ht="15" hidden="false" customHeight="false" outlineLevel="0" collapsed="false">
      <c r="A5" s="0" t="s">
        <v>43</v>
      </c>
      <c r="B5" s="0" t="n">
        <f aca="false">IF(OR(BS5&gt;=Settings!$B$5,Settings!$C$15&gt;0),BS5,0)</f>
        <v>0.28</v>
      </c>
      <c r="C5" s="0" t="n">
        <f aca="false">$B5/C$1</f>
        <v>0.28</v>
      </c>
      <c r="D5" s="0" t="n">
        <f aca="false">$B5/D$1</f>
        <v>0.0933333333333333</v>
      </c>
      <c r="E5" s="0" t="n">
        <f aca="false">$B5/E$1</f>
        <v>0.056</v>
      </c>
      <c r="F5" s="0" t="n">
        <f aca="false">$B5/F$1</f>
        <v>0.04</v>
      </c>
      <c r="G5" s="0" t="n">
        <f aca="false">$B5/G$1</f>
        <v>0.0311111111111111</v>
      </c>
      <c r="H5" s="0" t="n">
        <f aca="false">$B5/H$1</f>
        <v>0.0254545454545455</v>
      </c>
      <c r="I5" s="0" t="n">
        <f aca="false">$B5/I$1</f>
        <v>0.0215384615384615</v>
      </c>
      <c r="J5" s="0" t="n">
        <f aca="false">$B5/J$1</f>
        <v>0.0186666666666667</v>
      </c>
      <c r="K5" s="0" t="n">
        <f aca="false">$B5/K$1</f>
        <v>0.0164705882352941</v>
      </c>
      <c r="L5" s="0" t="n">
        <f aca="false">$B5/L$1</f>
        <v>0.0147368421052632</v>
      </c>
      <c r="M5" s="0" t="n">
        <f aca="false">$B5/M$1</f>
        <v>0.0133333333333333</v>
      </c>
      <c r="N5" s="0" t="n">
        <f aca="false">$B5/N$1</f>
        <v>0.0121739130434783</v>
      </c>
      <c r="O5" s="0" t="n">
        <f aca="false">$B5/O$1</f>
        <v>0.0112</v>
      </c>
      <c r="P5" s="0" t="n">
        <f aca="false">$B5/P$1</f>
        <v>0.0103703703703704</v>
      </c>
      <c r="Q5" s="0" t="n">
        <f aca="false">$B5/Q$1</f>
        <v>0.0096551724137931</v>
      </c>
      <c r="R5" s="0" t="n">
        <f aca="false">$B5/R$1</f>
        <v>0.00903225806451613</v>
      </c>
      <c r="S5" s="0" t="n">
        <f aca="false">$B5/S$1</f>
        <v>0.00848484848484849</v>
      </c>
      <c r="T5" s="0" t="n">
        <f aca="false">$B5/T$1</f>
        <v>0.008</v>
      </c>
      <c r="U5" s="0" t="n">
        <f aca="false">$B5/U$1</f>
        <v>0.00756756756756757</v>
      </c>
      <c r="V5" s="0" t="n">
        <f aca="false">$B5/V$1</f>
        <v>0.00717948717948718</v>
      </c>
      <c r="W5" s="0" t="n">
        <f aca="false">$B5/W$1</f>
        <v>0.00682926829268293</v>
      </c>
      <c r="X5" s="0" t="n">
        <f aca="false">$B5/X$1</f>
        <v>0.00651162790697674</v>
      </c>
      <c r="Y5" s="0" t="n">
        <f aca="false">$B5/Y$1</f>
        <v>0.00622222222222222</v>
      </c>
      <c r="Z5" s="0" t="n">
        <f aca="false">$B5/Z$1</f>
        <v>0.00595744680851064</v>
      </c>
      <c r="AA5" s="0" t="n">
        <f aca="false">$B5/AA$1</f>
        <v>0.00571428571428572</v>
      </c>
      <c r="AB5" s="0" t="n">
        <f aca="false">$B5/AB$1</f>
        <v>0.00549019607843137</v>
      </c>
      <c r="AC5" s="0" t="n">
        <f aca="false">$B5/AC$1</f>
        <v>0.00528301886792453</v>
      </c>
      <c r="AD5" s="0" t="n">
        <f aca="false">$B5/AD$1</f>
        <v>0.00509090909090909</v>
      </c>
      <c r="AE5" s="0" t="n">
        <f aca="false">$B5/AE$1</f>
        <v>0.00491228070175439</v>
      </c>
      <c r="AF5" s="0" t="n">
        <f aca="false">$B5/AF$1</f>
        <v>0.00474576271186441</v>
      </c>
      <c r="AG5" s="0" t="n">
        <f aca="false">$B5/AG$1</f>
        <v>0.00459016393442623</v>
      </c>
      <c r="AH5" s="0" t="n">
        <f aca="false">$B5/AH$1</f>
        <v>0.00444444444444444</v>
      </c>
      <c r="AI5" s="0" t="n">
        <f aca="false">$B5/AI$1</f>
        <v>0.00430769230769231</v>
      </c>
      <c r="AJ5" s="0" t="n">
        <f aca="false">$B5/AJ$1</f>
        <v>0.00417910447761194</v>
      </c>
      <c r="AK5" s="0" t="n">
        <f aca="false">$B5/AK$1</f>
        <v>0.00405797101449275</v>
      </c>
      <c r="AL5" s="0" t="n">
        <f aca="false">$B5/AL$1</f>
        <v>0.00394366197183099</v>
      </c>
      <c r="AM5" s="0" t="n">
        <f aca="false">$B5/AM$1</f>
        <v>0.00383561643835616</v>
      </c>
      <c r="AN5" s="0" t="n">
        <f aca="false">$B5/AN$1</f>
        <v>0.00373333333333333</v>
      </c>
      <c r="AO5" s="0" t="n">
        <f aca="false">$B5/AO$1</f>
        <v>0.00363636363636364</v>
      </c>
      <c r="AP5" s="0" t="n">
        <f aca="false">$B5/AP$1</f>
        <v>0.00354430379746835</v>
      </c>
      <c r="AQ5" s="0" t="n">
        <f aca="false">$B5/AQ$1</f>
        <v>0.00345679012345679</v>
      </c>
      <c r="AR5" s="0" t="n">
        <f aca="false">$B5/AR$1</f>
        <v>0.00337349397590362</v>
      </c>
      <c r="AS5" s="0" t="n">
        <f aca="false">$B5/AS$1</f>
        <v>0.00329411764705882</v>
      </c>
      <c r="AT5" s="0" t="n">
        <f aca="false">$B5/AT$1</f>
        <v>0.0032183908045977</v>
      </c>
      <c r="AU5" s="0" t="n">
        <f aca="false">$B5/AU$1</f>
        <v>0.00314606741573034</v>
      </c>
      <c r="AV5" s="0" t="n">
        <f aca="false">$B5/AV$1</f>
        <v>0.00307692307692308</v>
      </c>
      <c r="AW5" s="0" t="n">
        <f aca="false">$B5/AW$1</f>
        <v>0.00301075268817204</v>
      </c>
      <c r="AX5" s="0" t="n">
        <f aca="false">$B5/AX$1</f>
        <v>0.00294736842105263</v>
      </c>
      <c r="AY5" s="0" t="n">
        <f aca="false">$B5/AY$1</f>
        <v>0.00288659793814433</v>
      </c>
      <c r="AZ5" s="0" t="n">
        <f aca="false">$B5/AZ$1</f>
        <v>0.00282828282828283</v>
      </c>
      <c r="BA5" s="0" t="n">
        <f aca="false">$B5/BA$1</f>
        <v>0.00277227722772277</v>
      </c>
      <c r="BB5" s="0" t="n">
        <f aca="false">$B5/BB$1</f>
        <v>0.00271844660194175</v>
      </c>
      <c r="BC5" s="0" t="n">
        <f aca="false">$B5/BC$1</f>
        <v>0.00266666666666667</v>
      </c>
      <c r="BD5" s="0" t="n">
        <f aca="false">$B5/BD$1</f>
        <v>0.00261682242990654</v>
      </c>
      <c r="BE5" s="0" t="n">
        <f aca="false">$B5/BE$1</f>
        <v>0.00256880733944954</v>
      </c>
      <c r="BF5" s="0" t="n">
        <f aca="false">$B5/BF$1</f>
        <v>0.00252252252252252</v>
      </c>
      <c r="BG5" s="0" t="n">
        <f aca="false">$B5/BG$1</f>
        <v>0.00247787610619469</v>
      </c>
      <c r="BH5" s="0" t="n">
        <f aca="false">$B5/BH$1</f>
        <v>0.00243478260869565</v>
      </c>
      <c r="BI5" s="0" t="n">
        <f aca="false">$B5/BI$1</f>
        <v>0.00239316239316239</v>
      </c>
      <c r="BJ5" s="0" t="n">
        <f aca="false">$B5/BJ$1</f>
        <v>0.00235294117647059</v>
      </c>
      <c r="BL5" s="0" t="n">
        <f aca="false">IF($B$3=1,COUNTIF(C5:BJ5,"&gt;="&amp;$C$3),0)</f>
        <v>34</v>
      </c>
      <c r="BM5" s="0" t="n">
        <f aca="false">IF($B$3=1,IF(OR(BS5&gt;=Settings!$B$5,Settings!$C$15&gt;0),MAX(BL5,Settings!$C$15),0),0)</f>
        <v>34</v>
      </c>
      <c r="BN5" s="0" t="n">
        <f aca="false">IF($B$3=1,IF(OR(BS5&gt;=Settings!$B$5,Settings!$C$15&gt;0),MAX(0,(2*MAX(BL5,Settings!$C$15)+1)*$C$3-BS5),MAX(0,Settings!$B$5-BS5)),"")</f>
        <v>0.00835820895522388</v>
      </c>
      <c r="BO5" s="0" t="n">
        <f aca="false">IF($B$3=1,IF(OR(BS5&gt;=Settings!$B$5,Settings!$C$15&gt;0),IF(BL5&lt;=Settings!$C$15,"Protected by electorates",IF(Settings!$C$15=0,MIN(BS5-(2*BL5-1)*$D$3,BS5-Settings!$B$5),BS5-(2*BL5-1)*$D$3)),""),"")</f>
        <v>0.00811594202898552</v>
      </c>
      <c r="BP5" s="0" t="n">
        <f aca="false">IF($B$3=1,IF(OR(BS5&gt;=Settings!$B$5,Settings!$C$15&gt;0),MAX(0,MIN(1,(BS5/$C$3-(2*MAX(BL5,Settings!$C$15)-1))/2)),MIN(1,BS5/Settings!$B$5)),"")</f>
        <v>0</v>
      </c>
      <c r="BQ5" s="0" t="n">
        <f aca="false">IF(AND($B$3=1,COUNTIF(C5:BJ5,$C$3)&gt;0),1,0)</f>
        <v>1</v>
      </c>
      <c r="BR5" s="0" t="n">
        <f aca="false">IF(AND($B$3=1,COUNTIF(C5:BJ5,$D$3)&gt;0),1,0)</f>
        <v>1</v>
      </c>
      <c r="BS5" s="0" t="n">
        <f aca="false">N(IF(Polls!I6="",Polls!I37,Polls!I6))</f>
        <v>0.28</v>
      </c>
      <c r="BT5" s="0" t="str">
        <f aca="false">IF(OR(BS5&gt;=Settings!$B$5,Settings!$C$15&gt;0),"Next seat","Threshold")</f>
        <v>Next seat</v>
      </c>
    </row>
    <row r="6" customFormat="false" ht="15" hidden="false" customHeight="false" outlineLevel="0" collapsed="false">
      <c r="A6" s="0" t="s">
        <v>45</v>
      </c>
      <c r="B6" s="0" t="n">
        <f aca="false">IF(OR(BS6&gt;=Settings!$B$5,Settings!$C$16&gt;0),BS6,0)</f>
        <v>0.15</v>
      </c>
      <c r="C6" s="0" t="n">
        <f aca="false">$B6/C$1</f>
        <v>0.15</v>
      </c>
      <c r="D6" s="0" t="n">
        <f aca="false">$B6/D$1</f>
        <v>0.05</v>
      </c>
      <c r="E6" s="0" t="n">
        <f aca="false">$B6/E$1</f>
        <v>0.03</v>
      </c>
      <c r="F6" s="0" t="n">
        <f aca="false">$B6/F$1</f>
        <v>0.0214285714285714</v>
      </c>
      <c r="G6" s="0" t="n">
        <f aca="false">$B6/G$1</f>
        <v>0.0166666666666667</v>
      </c>
      <c r="H6" s="0" t="n">
        <f aca="false">$B6/H$1</f>
        <v>0.0136363636363636</v>
      </c>
      <c r="I6" s="0" t="n">
        <f aca="false">$B6/I$1</f>
        <v>0.0115384615384615</v>
      </c>
      <c r="J6" s="0" t="n">
        <f aca="false">$B6/J$1</f>
        <v>0.01</v>
      </c>
      <c r="K6" s="0" t="n">
        <f aca="false">$B6/K$1</f>
        <v>0.00882352941176471</v>
      </c>
      <c r="L6" s="0" t="n">
        <f aca="false">$B6/L$1</f>
        <v>0.00789473684210526</v>
      </c>
      <c r="M6" s="0" t="n">
        <f aca="false">$B6/M$1</f>
        <v>0.00714285714285714</v>
      </c>
      <c r="N6" s="0" t="n">
        <f aca="false">$B6/N$1</f>
        <v>0.00652173913043478</v>
      </c>
      <c r="O6" s="0" t="n">
        <f aca="false">$B6/O$1</f>
        <v>0.006</v>
      </c>
      <c r="P6" s="0" t="n">
        <f aca="false">$B6/P$1</f>
        <v>0.00555555555555556</v>
      </c>
      <c r="Q6" s="0" t="n">
        <f aca="false">$B6/Q$1</f>
        <v>0.00517241379310345</v>
      </c>
      <c r="R6" s="0" t="n">
        <f aca="false">$B6/R$1</f>
        <v>0.00483870967741936</v>
      </c>
      <c r="S6" s="0" t="n">
        <f aca="false">$B6/S$1</f>
        <v>0.00454545454545455</v>
      </c>
      <c r="T6" s="0" t="n">
        <f aca="false">$B6/T$1</f>
        <v>0.00428571428571429</v>
      </c>
      <c r="U6" s="0" t="n">
        <f aca="false">$B6/U$1</f>
        <v>0.00405405405405405</v>
      </c>
      <c r="V6" s="0" t="n">
        <f aca="false">$B6/V$1</f>
        <v>0.00384615384615385</v>
      </c>
      <c r="W6" s="0" t="n">
        <f aca="false">$B6/W$1</f>
        <v>0.00365853658536585</v>
      </c>
      <c r="X6" s="0" t="n">
        <f aca="false">$B6/X$1</f>
        <v>0.00348837209302326</v>
      </c>
      <c r="Y6" s="0" t="n">
        <f aca="false">$B6/Y$1</f>
        <v>0.00333333333333333</v>
      </c>
      <c r="Z6" s="0" t="n">
        <f aca="false">$B6/Z$1</f>
        <v>0.00319148936170213</v>
      </c>
      <c r="AA6" s="0" t="n">
        <f aca="false">$B6/AA$1</f>
        <v>0.00306122448979592</v>
      </c>
      <c r="AB6" s="0" t="n">
        <f aca="false">$B6/AB$1</f>
        <v>0.00294117647058824</v>
      </c>
      <c r="AC6" s="0" t="n">
        <f aca="false">$B6/AC$1</f>
        <v>0.00283018867924528</v>
      </c>
      <c r="AD6" s="0" t="n">
        <f aca="false">$B6/AD$1</f>
        <v>0.00272727272727273</v>
      </c>
      <c r="AE6" s="0" t="n">
        <f aca="false">$B6/AE$1</f>
        <v>0.00263157894736842</v>
      </c>
      <c r="AF6" s="0" t="n">
        <f aca="false">$B6/AF$1</f>
        <v>0.00254237288135593</v>
      </c>
      <c r="AG6" s="0" t="n">
        <f aca="false">$B6/AG$1</f>
        <v>0.00245901639344262</v>
      </c>
      <c r="AH6" s="0" t="n">
        <f aca="false">$B6/AH$1</f>
        <v>0.00238095238095238</v>
      </c>
      <c r="AI6" s="0" t="n">
        <f aca="false">$B6/AI$1</f>
        <v>0.00230769230769231</v>
      </c>
      <c r="AJ6" s="0" t="n">
        <f aca="false">$B6/AJ$1</f>
        <v>0.00223880597014925</v>
      </c>
      <c r="AK6" s="0" t="n">
        <f aca="false">$B6/AK$1</f>
        <v>0.00217391304347826</v>
      </c>
      <c r="AL6" s="0" t="n">
        <f aca="false">$B6/AL$1</f>
        <v>0.00211267605633803</v>
      </c>
      <c r="AM6" s="0" t="n">
        <f aca="false">$B6/AM$1</f>
        <v>0.00205479452054795</v>
      </c>
      <c r="AN6" s="0" t="n">
        <f aca="false">$B6/AN$1</f>
        <v>0.002</v>
      </c>
      <c r="AO6" s="0" t="n">
        <f aca="false">$B6/AO$1</f>
        <v>0.00194805194805195</v>
      </c>
      <c r="AP6" s="0" t="n">
        <f aca="false">$B6/AP$1</f>
        <v>0.00189873417721519</v>
      </c>
      <c r="AQ6" s="0" t="n">
        <f aca="false">$B6/AQ$1</f>
        <v>0.00185185185185185</v>
      </c>
      <c r="AR6" s="0" t="n">
        <f aca="false">$B6/AR$1</f>
        <v>0.00180722891566265</v>
      </c>
      <c r="AS6" s="0" t="n">
        <f aca="false">$B6/AS$1</f>
        <v>0.00176470588235294</v>
      </c>
      <c r="AT6" s="0" t="n">
        <f aca="false">$B6/AT$1</f>
        <v>0.00172413793103448</v>
      </c>
      <c r="AU6" s="0" t="n">
        <f aca="false">$B6/AU$1</f>
        <v>0.00168539325842697</v>
      </c>
      <c r="AV6" s="0" t="n">
        <f aca="false">$B6/AV$1</f>
        <v>0.00164835164835165</v>
      </c>
      <c r="AW6" s="0" t="n">
        <f aca="false">$B6/AW$1</f>
        <v>0.00161290322580645</v>
      </c>
      <c r="AX6" s="0" t="n">
        <f aca="false">$B6/AX$1</f>
        <v>0.00157894736842105</v>
      </c>
      <c r="AY6" s="0" t="n">
        <f aca="false">$B6/AY$1</f>
        <v>0.00154639175257732</v>
      </c>
      <c r="AZ6" s="0" t="n">
        <f aca="false">$B6/AZ$1</f>
        <v>0.00151515151515152</v>
      </c>
      <c r="BA6" s="0" t="n">
        <f aca="false">$B6/BA$1</f>
        <v>0.00148514851485149</v>
      </c>
      <c r="BB6" s="0" t="n">
        <f aca="false">$B6/BB$1</f>
        <v>0.00145631067961165</v>
      </c>
      <c r="BC6" s="0" t="n">
        <f aca="false">$B6/BC$1</f>
        <v>0.00142857142857143</v>
      </c>
      <c r="BD6" s="0" t="n">
        <f aca="false">$B6/BD$1</f>
        <v>0.0014018691588785</v>
      </c>
      <c r="BE6" s="0" t="n">
        <f aca="false">$B6/BE$1</f>
        <v>0.00137614678899083</v>
      </c>
      <c r="BF6" s="0" t="n">
        <f aca="false">$B6/BF$1</f>
        <v>0.00135135135135135</v>
      </c>
      <c r="BG6" s="0" t="n">
        <f aca="false">$B6/BG$1</f>
        <v>0.00132743362831858</v>
      </c>
      <c r="BH6" s="0" t="n">
        <f aca="false">$B6/BH$1</f>
        <v>0.00130434782608696</v>
      </c>
      <c r="BI6" s="0" t="n">
        <f aca="false">$B6/BI$1</f>
        <v>0.00128205128205128</v>
      </c>
      <c r="BJ6" s="0" t="n">
        <f aca="false">$B6/BJ$1</f>
        <v>0.00126050420168067</v>
      </c>
      <c r="BL6" s="0" t="n">
        <f aca="false">IF($B$3=1,COUNTIF(C6:BJ6,"&gt;="&amp;$C$3),0)</f>
        <v>18</v>
      </c>
      <c r="BM6" s="0" t="n">
        <f aca="false">IF($B$3=1,IF(OR(BS6&gt;=Settings!$B$5,Settings!$C$16&gt;0),MAX(BL6,Settings!$C$16),0),0)</f>
        <v>18</v>
      </c>
      <c r="BN6" s="0" t="n">
        <f aca="false">IF($B$3=1,IF(OR(BS6&gt;=Settings!$B$5,Settings!$C$16&gt;0),MAX(0,(2*MAX(BL6,Settings!$C$16)+1)*$C$3-BS6),MAX(0,Settings!$B$5-BS6)),"")</f>
        <v>0.00462686567164181</v>
      </c>
      <c r="BO6" s="0" t="n">
        <f aca="false">IF($B$3=1,IF(OR(BS6&gt;=Settings!$B$5,Settings!$C$16&gt;0),IF(BL6&lt;=Settings!$C$16,"Protected by electorates",IF(Settings!$C$16=0,MIN(BS6-(2*BL6-1)*$D$3,BS6-Settings!$B$5),BS6-(2*BL6-1)*$D$3)),""),"")</f>
        <v>0.00797101449275361</v>
      </c>
      <c r="BP6" s="0" t="n">
        <f aca="false">IF($B$3=1,IF(OR(BS6&gt;=Settings!$B$5,Settings!$C$16&gt;0),MAX(0,MIN(1,(BS6/$C$3-(2*MAX(BL6,Settings!$C$16)-1))/2)),MIN(1,BS6/Settings!$B$5)),"")</f>
        <v>0.446428571428569</v>
      </c>
      <c r="BQ6" s="0" t="n">
        <f aca="false">IF(AND($B$3=1,COUNTIF(C6:BJ6,$C$3)&gt;0),1,0)</f>
        <v>0</v>
      </c>
      <c r="BR6" s="0" t="n">
        <f aca="false">IF(AND($B$3=1,COUNTIF(C6:BJ6,$D$3)&gt;0),1,0)</f>
        <v>0</v>
      </c>
      <c r="BS6" s="0" t="n">
        <f aca="false">N(IF(Polls!J6="",Polls!J37,Polls!J6))</f>
        <v>0.15</v>
      </c>
      <c r="BT6" s="0" t="str">
        <f aca="false">IF(OR(BS6&gt;=Settings!$B$5,Settings!$C$16&gt;0),"Next seat","Threshold")</f>
        <v>Next seat</v>
      </c>
    </row>
    <row r="7" customFormat="false" ht="15" hidden="false" customHeight="false" outlineLevel="0" collapsed="false">
      <c r="A7" s="0" t="s">
        <v>46</v>
      </c>
      <c r="B7" s="0" t="n">
        <f aca="false">IF(OR(BS7&gt;=Settings!$B$5,Settings!$C$17&gt;0),BS7,0)</f>
        <v>0.1</v>
      </c>
      <c r="C7" s="0" t="n">
        <f aca="false">$B7/C$1</f>
        <v>0.1</v>
      </c>
      <c r="D7" s="0" t="n">
        <f aca="false">$B7/D$1</f>
        <v>0.0333333333333333</v>
      </c>
      <c r="E7" s="0" t="n">
        <f aca="false">$B7/E$1</f>
        <v>0.02</v>
      </c>
      <c r="F7" s="0" t="n">
        <f aca="false">$B7/F$1</f>
        <v>0.0142857142857143</v>
      </c>
      <c r="G7" s="0" t="n">
        <f aca="false">$B7/G$1</f>
        <v>0.0111111111111111</v>
      </c>
      <c r="H7" s="0" t="n">
        <f aca="false">$B7/H$1</f>
        <v>0.00909090909090909</v>
      </c>
      <c r="I7" s="0" t="n">
        <f aca="false">$B7/I$1</f>
        <v>0.00769230769230769</v>
      </c>
      <c r="J7" s="0" t="n">
        <f aca="false">$B7/J$1</f>
        <v>0.00666666666666667</v>
      </c>
      <c r="K7" s="0" t="n">
        <f aca="false">$B7/K$1</f>
        <v>0.00588235294117647</v>
      </c>
      <c r="L7" s="0" t="n">
        <f aca="false">$B7/L$1</f>
        <v>0.00526315789473684</v>
      </c>
      <c r="M7" s="0" t="n">
        <f aca="false">$B7/M$1</f>
        <v>0.00476190476190476</v>
      </c>
      <c r="N7" s="0" t="n">
        <f aca="false">$B7/N$1</f>
        <v>0.00434782608695652</v>
      </c>
      <c r="O7" s="0" t="n">
        <f aca="false">$B7/O$1</f>
        <v>0.004</v>
      </c>
      <c r="P7" s="0" t="n">
        <f aca="false">$B7/P$1</f>
        <v>0.0037037037037037</v>
      </c>
      <c r="Q7" s="0" t="n">
        <f aca="false">$B7/Q$1</f>
        <v>0.00344827586206897</v>
      </c>
      <c r="R7" s="0" t="n">
        <f aca="false">$B7/R$1</f>
        <v>0.0032258064516129</v>
      </c>
      <c r="S7" s="0" t="n">
        <f aca="false">$B7/S$1</f>
        <v>0.00303030303030303</v>
      </c>
      <c r="T7" s="0" t="n">
        <f aca="false">$B7/T$1</f>
        <v>0.00285714285714286</v>
      </c>
      <c r="U7" s="0" t="n">
        <f aca="false">$B7/U$1</f>
        <v>0.0027027027027027</v>
      </c>
      <c r="V7" s="0" t="n">
        <f aca="false">$B7/V$1</f>
        <v>0.00256410256410256</v>
      </c>
      <c r="W7" s="0" t="n">
        <f aca="false">$B7/W$1</f>
        <v>0.0024390243902439</v>
      </c>
      <c r="X7" s="0" t="n">
        <f aca="false">$B7/X$1</f>
        <v>0.00232558139534884</v>
      </c>
      <c r="Y7" s="0" t="n">
        <f aca="false">$B7/Y$1</f>
        <v>0.00222222222222222</v>
      </c>
      <c r="Z7" s="0" t="n">
        <f aca="false">$B7/Z$1</f>
        <v>0.00212765957446809</v>
      </c>
      <c r="AA7" s="0" t="n">
        <f aca="false">$B7/AA$1</f>
        <v>0.00204081632653061</v>
      </c>
      <c r="AB7" s="0" t="n">
        <f aca="false">$B7/AB$1</f>
        <v>0.00196078431372549</v>
      </c>
      <c r="AC7" s="0" t="n">
        <f aca="false">$B7/AC$1</f>
        <v>0.00188679245283019</v>
      </c>
      <c r="AD7" s="0" t="n">
        <f aca="false">$B7/AD$1</f>
        <v>0.00181818181818182</v>
      </c>
      <c r="AE7" s="0" t="n">
        <f aca="false">$B7/AE$1</f>
        <v>0.00175438596491228</v>
      </c>
      <c r="AF7" s="0" t="n">
        <f aca="false">$B7/AF$1</f>
        <v>0.00169491525423729</v>
      </c>
      <c r="AG7" s="0" t="n">
        <f aca="false">$B7/AG$1</f>
        <v>0.00163934426229508</v>
      </c>
      <c r="AH7" s="0" t="n">
        <f aca="false">$B7/AH$1</f>
        <v>0.00158730158730159</v>
      </c>
      <c r="AI7" s="0" t="n">
        <f aca="false">$B7/AI$1</f>
        <v>0.00153846153846154</v>
      </c>
      <c r="AJ7" s="0" t="n">
        <f aca="false">$B7/AJ$1</f>
        <v>0.00149253731343284</v>
      </c>
      <c r="AK7" s="0" t="n">
        <f aca="false">$B7/AK$1</f>
        <v>0.00144927536231884</v>
      </c>
      <c r="AL7" s="0" t="n">
        <f aca="false">$B7/AL$1</f>
        <v>0.00140845070422535</v>
      </c>
      <c r="AM7" s="0" t="n">
        <f aca="false">$B7/AM$1</f>
        <v>0.00136986301369863</v>
      </c>
      <c r="AN7" s="0" t="n">
        <f aca="false">$B7/AN$1</f>
        <v>0.00133333333333333</v>
      </c>
      <c r="AO7" s="0" t="n">
        <f aca="false">$B7/AO$1</f>
        <v>0.0012987012987013</v>
      </c>
      <c r="AP7" s="0" t="n">
        <f aca="false">$B7/AP$1</f>
        <v>0.00126582278481013</v>
      </c>
      <c r="AQ7" s="0" t="n">
        <f aca="false">$B7/AQ$1</f>
        <v>0.00123456790123457</v>
      </c>
      <c r="AR7" s="0" t="n">
        <f aca="false">$B7/AR$1</f>
        <v>0.00120481927710843</v>
      </c>
      <c r="AS7" s="0" t="n">
        <f aca="false">$B7/AS$1</f>
        <v>0.00117647058823529</v>
      </c>
      <c r="AT7" s="0" t="n">
        <f aca="false">$B7/AT$1</f>
        <v>0.00114942528735632</v>
      </c>
      <c r="AU7" s="0" t="n">
        <f aca="false">$B7/AU$1</f>
        <v>0.00112359550561798</v>
      </c>
      <c r="AV7" s="0" t="n">
        <f aca="false">$B7/AV$1</f>
        <v>0.0010989010989011</v>
      </c>
      <c r="AW7" s="0" t="n">
        <f aca="false">$B7/AW$1</f>
        <v>0.0010752688172043</v>
      </c>
      <c r="AX7" s="0" t="n">
        <f aca="false">$B7/AX$1</f>
        <v>0.00105263157894737</v>
      </c>
      <c r="AY7" s="0" t="n">
        <f aca="false">$B7/AY$1</f>
        <v>0.00103092783505155</v>
      </c>
      <c r="AZ7" s="0" t="n">
        <f aca="false">$B7/AZ$1</f>
        <v>0.00101010101010101</v>
      </c>
      <c r="BA7" s="0" t="n">
        <f aca="false">$B7/BA$1</f>
        <v>0.00099009900990099</v>
      </c>
      <c r="BB7" s="0" t="n">
        <f aca="false">$B7/BB$1</f>
        <v>0.000970873786407767</v>
      </c>
      <c r="BC7" s="0" t="n">
        <f aca="false">$B7/BC$1</f>
        <v>0.000952380952380952</v>
      </c>
      <c r="BD7" s="0" t="n">
        <f aca="false">$B7/BD$1</f>
        <v>0.000934579439252337</v>
      </c>
      <c r="BE7" s="0" t="n">
        <f aca="false">$B7/BE$1</f>
        <v>0.000917431192660551</v>
      </c>
      <c r="BF7" s="0" t="n">
        <f aca="false">$B7/BF$1</f>
        <v>0.000900900900900901</v>
      </c>
      <c r="BG7" s="0" t="n">
        <f aca="false">$B7/BG$1</f>
        <v>0.00088495575221239</v>
      </c>
      <c r="BH7" s="0" t="n">
        <f aca="false">$B7/BH$1</f>
        <v>0.000869565217391304</v>
      </c>
      <c r="BI7" s="0" t="n">
        <f aca="false">$B7/BI$1</f>
        <v>0.000854700854700855</v>
      </c>
      <c r="BJ7" s="0" t="n">
        <f aca="false">$B7/BJ$1</f>
        <v>0.000840336134453782</v>
      </c>
      <c r="BL7" s="0" t="n">
        <f aca="false">IF($B$3=1,COUNTIF(C7:BJ7,"&gt;="&amp;$C$3),0)</f>
        <v>12</v>
      </c>
      <c r="BM7" s="0" t="n">
        <f aca="false">IF($B$3=1,IF(OR(BS7&gt;=Settings!$B$5,Settings!$C$17&gt;0),MAX(BL7,Settings!$C$17),0),0)</f>
        <v>12</v>
      </c>
      <c r="BN7" s="0" t="n">
        <f aca="false">IF($B$3=1,IF(OR(BS7&gt;=Settings!$B$5,Settings!$C$17&gt;0),MAX(0,(2*MAX(BL7,Settings!$C$17)+1)*$C$3-BS7),MAX(0,Settings!$B$5-BS7)),"")</f>
        <v>0.00447761194029851</v>
      </c>
      <c r="BO7" s="0" t="n">
        <f aca="false">IF($B$3=1,IF(OR(BS7&gt;=Settings!$B$5,Settings!$C$17&gt;0),IF(BL7&lt;=Settings!$C$17,"Protected by electorates",IF(Settings!$C$17=0,MIN(BS7-(2*BL7-1)*$D$3,BS7-Settings!$B$5),BS7-(2*BL7-1)*$D$3)),""),"")</f>
        <v>0.00666666666666667</v>
      </c>
      <c r="BP7" s="0" t="n">
        <f aca="false">IF($B$3=1,IF(OR(BS7&gt;=Settings!$B$5,Settings!$C$17&gt;0),MAX(0,MIN(1,(BS7/$C$3-(2*MAX(BL7,Settings!$C$17)-1))/2)),MIN(1,BS7/Settings!$B$5)),"")</f>
        <v>0.464285714285714</v>
      </c>
      <c r="BQ7" s="0" t="n">
        <f aca="false">IF(AND($B$3=1,COUNTIF(C7:BJ7,$C$3)&gt;0),1,0)</f>
        <v>0</v>
      </c>
      <c r="BR7" s="0" t="n">
        <f aca="false">IF(AND($B$3=1,COUNTIF(C7:BJ7,$D$3)&gt;0),1,0)</f>
        <v>0</v>
      </c>
      <c r="BS7" s="0" t="n">
        <f aca="false">N(IF(Polls!K6="",Polls!K37,Polls!K6))</f>
        <v>0.1</v>
      </c>
      <c r="BT7" s="0" t="str">
        <f aca="false">IF(OR(BS7&gt;=Settings!$B$5,Settings!$C$17&gt;0),"Next seat","Threshold")</f>
        <v>Next seat</v>
      </c>
    </row>
    <row r="8" customFormat="false" ht="15" hidden="false" customHeight="false" outlineLevel="0" collapsed="false">
      <c r="A8" s="0" t="s">
        <v>48</v>
      </c>
      <c r="B8" s="0" t="n">
        <f aca="false">IF(OR(BS8&gt;=Settings!$B$5,Settings!$C$18&gt;0),BS8,0)</f>
        <v>0.1</v>
      </c>
      <c r="C8" s="0" t="n">
        <f aca="false">$B8/C$1</f>
        <v>0.1</v>
      </c>
      <c r="D8" s="0" t="n">
        <f aca="false">$B8/D$1</f>
        <v>0.0333333333333333</v>
      </c>
      <c r="E8" s="0" t="n">
        <f aca="false">$B8/E$1</f>
        <v>0.02</v>
      </c>
      <c r="F8" s="0" t="n">
        <f aca="false">$B8/F$1</f>
        <v>0.0142857142857143</v>
      </c>
      <c r="G8" s="0" t="n">
        <f aca="false">$B8/G$1</f>
        <v>0.0111111111111111</v>
      </c>
      <c r="H8" s="0" t="n">
        <f aca="false">$B8/H$1</f>
        <v>0.00909090909090909</v>
      </c>
      <c r="I8" s="0" t="n">
        <f aca="false">$B8/I$1</f>
        <v>0.00769230769230769</v>
      </c>
      <c r="J8" s="0" t="n">
        <f aca="false">$B8/J$1</f>
        <v>0.00666666666666667</v>
      </c>
      <c r="K8" s="0" t="n">
        <f aca="false">$B8/K$1</f>
        <v>0.00588235294117647</v>
      </c>
      <c r="L8" s="0" t="n">
        <f aca="false">$B8/L$1</f>
        <v>0.00526315789473684</v>
      </c>
      <c r="M8" s="0" t="n">
        <f aca="false">$B8/M$1</f>
        <v>0.00476190476190476</v>
      </c>
      <c r="N8" s="0" t="n">
        <f aca="false">$B8/N$1</f>
        <v>0.00434782608695652</v>
      </c>
      <c r="O8" s="0" t="n">
        <f aca="false">$B8/O$1</f>
        <v>0.004</v>
      </c>
      <c r="P8" s="0" t="n">
        <f aca="false">$B8/P$1</f>
        <v>0.0037037037037037</v>
      </c>
      <c r="Q8" s="0" t="n">
        <f aca="false">$B8/Q$1</f>
        <v>0.00344827586206897</v>
      </c>
      <c r="R8" s="0" t="n">
        <f aca="false">$B8/R$1</f>
        <v>0.0032258064516129</v>
      </c>
      <c r="S8" s="0" t="n">
        <f aca="false">$B8/S$1</f>
        <v>0.00303030303030303</v>
      </c>
      <c r="T8" s="0" t="n">
        <f aca="false">$B8/T$1</f>
        <v>0.00285714285714286</v>
      </c>
      <c r="U8" s="0" t="n">
        <f aca="false">$B8/U$1</f>
        <v>0.0027027027027027</v>
      </c>
      <c r="V8" s="0" t="n">
        <f aca="false">$B8/V$1</f>
        <v>0.00256410256410256</v>
      </c>
      <c r="W8" s="0" t="n">
        <f aca="false">$B8/W$1</f>
        <v>0.0024390243902439</v>
      </c>
      <c r="X8" s="0" t="n">
        <f aca="false">$B8/X$1</f>
        <v>0.00232558139534884</v>
      </c>
      <c r="Y8" s="0" t="n">
        <f aca="false">$B8/Y$1</f>
        <v>0.00222222222222222</v>
      </c>
      <c r="Z8" s="0" t="n">
        <f aca="false">$B8/Z$1</f>
        <v>0.00212765957446809</v>
      </c>
      <c r="AA8" s="0" t="n">
        <f aca="false">$B8/AA$1</f>
        <v>0.00204081632653061</v>
      </c>
      <c r="AB8" s="0" t="n">
        <f aca="false">$B8/AB$1</f>
        <v>0.00196078431372549</v>
      </c>
      <c r="AC8" s="0" t="n">
        <f aca="false">$B8/AC$1</f>
        <v>0.00188679245283019</v>
      </c>
      <c r="AD8" s="0" t="n">
        <f aca="false">$B8/AD$1</f>
        <v>0.00181818181818182</v>
      </c>
      <c r="AE8" s="0" t="n">
        <f aca="false">$B8/AE$1</f>
        <v>0.00175438596491228</v>
      </c>
      <c r="AF8" s="0" t="n">
        <f aca="false">$B8/AF$1</f>
        <v>0.00169491525423729</v>
      </c>
      <c r="AG8" s="0" t="n">
        <f aca="false">$B8/AG$1</f>
        <v>0.00163934426229508</v>
      </c>
      <c r="AH8" s="0" t="n">
        <f aca="false">$B8/AH$1</f>
        <v>0.00158730158730159</v>
      </c>
      <c r="AI8" s="0" t="n">
        <f aca="false">$B8/AI$1</f>
        <v>0.00153846153846154</v>
      </c>
      <c r="AJ8" s="0" t="n">
        <f aca="false">$B8/AJ$1</f>
        <v>0.00149253731343284</v>
      </c>
      <c r="AK8" s="0" t="n">
        <f aca="false">$B8/AK$1</f>
        <v>0.00144927536231884</v>
      </c>
      <c r="AL8" s="0" t="n">
        <f aca="false">$B8/AL$1</f>
        <v>0.00140845070422535</v>
      </c>
      <c r="AM8" s="0" t="n">
        <f aca="false">$B8/AM$1</f>
        <v>0.00136986301369863</v>
      </c>
      <c r="AN8" s="0" t="n">
        <f aca="false">$B8/AN$1</f>
        <v>0.00133333333333333</v>
      </c>
      <c r="AO8" s="0" t="n">
        <f aca="false">$B8/AO$1</f>
        <v>0.0012987012987013</v>
      </c>
      <c r="AP8" s="0" t="n">
        <f aca="false">$B8/AP$1</f>
        <v>0.00126582278481013</v>
      </c>
      <c r="AQ8" s="0" t="n">
        <f aca="false">$B8/AQ$1</f>
        <v>0.00123456790123457</v>
      </c>
      <c r="AR8" s="0" t="n">
        <f aca="false">$B8/AR$1</f>
        <v>0.00120481927710843</v>
      </c>
      <c r="AS8" s="0" t="n">
        <f aca="false">$B8/AS$1</f>
        <v>0.00117647058823529</v>
      </c>
      <c r="AT8" s="0" t="n">
        <f aca="false">$B8/AT$1</f>
        <v>0.00114942528735632</v>
      </c>
      <c r="AU8" s="0" t="n">
        <f aca="false">$B8/AU$1</f>
        <v>0.00112359550561798</v>
      </c>
      <c r="AV8" s="0" t="n">
        <f aca="false">$B8/AV$1</f>
        <v>0.0010989010989011</v>
      </c>
      <c r="AW8" s="0" t="n">
        <f aca="false">$B8/AW$1</f>
        <v>0.0010752688172043</v>
      </c>
      <c r="AX8" s="0" t="n">
        <f aca="false">$B8/AX$1</f>
        <v>0.00105263157894737</v>
      </c>
      <c r="AY8" s="0" t="n">
        <f aca="false">$B8/AY$1</f>
        <v>0.00103092783505155</v>
      </c>
      <c r="AZ8" s="0" t="n">
        <f aca="false">$B8/AZ$1</f>
        <v>0.00101010101010101</v>
      </c>
      <c r="BA8" s="0" t="n">
        <f aca="false">$B8/BA$1</f>
        <v>0.00099009900990099</v>
      </c>
      <c r="BB8" s="0" t="n">
        <f aca="false">$B8/BB$1</f>
        <v>0.000970873786407767</v>
      </c>
      <c r="BC8" s="0" t="n">
        <f aca="false">$B8/BC$1</f>
        <v>0.000952380952380952</v>
      </c>
      <c r="BD8" s="0" t="n">
        <f aca="false">$B8/BD$1</f>
        <v>0.000934579439252337</v>
      </c>
      <c r="BE8" s="0" t="n">
        <f aca="false">$B8/BE$1</f>
        <v>0.000917431192660551</v>
      </c>
      <c r="BF8" s="0" t="n">
        <f aca="false">$B8/BF$1</f>
        <v>0.000900900900900901</v>
      </c>
      <c r="BG8" s="0" t="n">
        <f aca="false">$B8/BG$1</f>
        <v>0.00088495575221239</v>
      </c>
      <c r="BH8" s="0" t="n">
        <f aca="false">$B8/BH$1</f>
        <v>0.000869565217391304</v>
      </c>
      <c r="BI8" s="0" t="n">
        <f aca="false">$B8/BI$1</f>
        <v>0.000854700854700855</v>
      </c>
      <c r="BJ8" s="0" t="n">
        <f aca="false">$B8/BJ$1</f>
        <v>0.000840336134453782</v>
      </c>
      <c r="BL8" s="0" t="n">
        <f aca="false">IF($B$3=1,COUNTIF(C8:BJ8,"&gt;="&amp;$C$3),0)</f>
        <v>12</v>
      </c>
      <c r="BM8" s="0" t="n">
        <f aca="false">IF($B$3=1,IF(OR(BS8&gt;=Settings!$B$5,Settings!$C$18&gt;0),MAX(BL8,Settings!$C$18),0),0)</f>
        <v>12</v>
      </c>
      <c r="BN8" s="0" t="n">
        <f aca="false">IF($B$3=1,IF(OR(BS8&gt;=Settings!$B$5,Settings!$C$18&gt;0),MAX(0,(2*MAX(BL8,Settings!$C$18)+1)*$C$3-BS8),MAX(0,Settings!$B$5-BS8)),"")</f>
        <v>0.00447761194029851</v>
      </c>
      <c r="BO8" s="0" t="n">
        <f aca="false">IF($B$3=1,IF(OR(BS8&gt;=Settings!$B$5,Settings!$C$18&gt;0),IF(BL8&lt;=Settings!$C$18,"Protected by electorates",IF(Settings!$C$18=0,MIN(BS8-(2*BL8-1)*$D$3,BS8-Settings!$B$5),BS8-(2*BL8-1)*$D$3)),""),"")</f>
        <v>0.00666666666666667</v>
      </c>
      <c r="BP8" s="0" t="n">
        <f aca="false">IF($B$3=1,IF(OR(BS8&gt;=Settings!$B$5,Settings!$C$18&gt;0),MAX(0,MIN(1,(BS8/$C$3-(2*MAX(BL8,Settings!$C$18)-1))/2)),MIN(1,BS8/Settings!$B$5)),"")</f>
        <v>0.464285714285714</v>
      </c>
      <c r="BQ8" s="0" t="n">
        <f aca="false">IF(AND($B$3=1,COUNTIF(C8:BJ8,$C$3)&gt;0),1,0)</f>
        <v>0</v>
      </c>
      <c r="BR8" s="0" t="n">
        <f aca="false">IF(AND($B$3=1,COUNTIF(C8:BJ8,$D$3)&gt;0),1,0)</f>
        <v>0</v>
      </c>
      <c r="BS8" s="0" t="n">
        <f aca="false">N(IF(Polls!L6="",Polls!L37,Polls!L6))</f>
        <v>0.1</v>
      </c>
      <c r="BT8" s="0" t="str">
        <f aca="false">IF(OR(BS8&gt;=Settings!$B$5,Settings!$C$18&gt;0),"Next seat","Threshold")</f>
        <v>Next seat</v>
      </c>
    </row>
    <row r="9" customFormat="false" ht="15" hidden="false" customHeight="false" outlineLevel="0" collapsed="false">
      <c r="A9" s="0" t="s">
        <v>50</v>
      </c>
      <c r="B9" s="0" t="n">
        <f aca="false">IF(OR(BS9&gt;=Settings!$B$5,Settings!$C$19&gt;0),BS9,0)</f>
        <v>0.004</v>
      </c>
      <c r="C9" s="0" t="n">
        <f aca="false">$B9/C$1</f>
        <v>0.004</v>
      </c>
      <c r="D9" s="0" t="n">
        <f aca="false">$B9/D$1</f>
        <v>0.00133333333333333</v>
      </c>
      <c r="E9" s="0" t="n">
        <f aca="false">$B9/E$1</f>
        <v>0.0008</v>
      </c>
      <c r="F9" s="0" t="n">
        <f aca="false">$B9/F$1</f>
        <v>0.000571428571428572</v>
      </c>
      <c r="G9" s="0" t="n">
        <f aca="false">$B9/G$1</f>
        <v>0.000444444444444444</v>
      </c>
      <c r="H9" s="0" t="n">
        <f aca="false">$B9/H$1</f>
        <v>0.000363636363636364</v>
      </c>
      <c r="I9" s="0" t="n">
        <f aca="false">$B9/I$1</f>
        <v>0.000307692307692308</v>
      </c>
      <c r="J9" s="0" t="n">
        <f aca="false">$B9/J$1</f>
        <v>0.000266666666666667</v>
      </c>
      <c r="K9" s="0" t="n">
        <f aca="false">$B9/K$1</f>
        <v>0.000235294117647059</v>
      </c>
      <c r="L9" s="0" t="n">
        <f aca="false">$B9/L$1</f>
        <v>0.000210526315789474</v>
      </c>
      <c r="M9" s="0" t="n">
        <f aca="false">$B9/M$1</f>
        <v>0.00019047619047619</v>
      </c>
      <c r="N9" s="0" t="n">
        <f aca="false">$B9/N$1</f>
        <v>0.000173913043478261</v>
      </c>
      <c r="O9" s="0" t="n">
        <f aca="false">$B9/O$1</f>
        <v>0.00016</v>
      </c>
      <c r="P9" s="0" t="n">
        <f aca="false">$B9/P$1</f>
        <v>0.000148148148148148</v>
      </c>
      <c r="Q9" s="0" t="n">
        <f aca="false">$B9/Q$1</f>
        <v>0.000137931034482759</v>
      </c>
      <c r="R9" s="0" t="n">
        <f aca="false">$B9/R$1</f>
        <v>0.000129032258064516</v>
      </c>
      <c r="S9" s="0" t="n">
        <f aca="false">$B9/S$1</f>
        <v>0.000121212121212121</v>
      </c>
      <c r="T9" s="0" t="n">
        <f aca="false">$B9/T$1</f>
        <v>0.000114285714285714</v>
      </c>
      <c r="U9" s="0" t="n">
        <f aca="false">$B9/U$1</f>
        <v>0.000108108108108108</v>
      </c>
      <c r="V9" s="0" t="n">
        <f aca="false">$B9/V$1</f>
        <v>0.000102564102564103</v>
      </c>
      <c r="W9" s="0" t="n">
        <f aca="false">$B9/W$1</f>
        <v>9.75609756097561E-005</v>
      </c>
      <c r="X9" s="0" t="n">
        <f aca="false">$B9/X$1</f>
        <v>9.30232558139535E-005</v>
      </c>
      <c r="Y9" s="0" t="n">
        <f aca="false">$B9/Y$1</f>
        <v>8.88888888888889E-005</v>
      </c>
      <c r="Z9" s="0" t="n">
        <f aca="false">$B9/Z$1</f>
        <v>8.51063829787234E-005</v>
      </c>
      <c r="AA9" s="0" t="n">
        <f aca="false">$B9/AA$1</f>
        <v>8.16326530612245E-005</v>
      </c>
      <c r="AB9" s="0" t="n">
        <f aca="false">$B9/AB$1</f>
        <v>7.84313725490196E-005</v>
      </c>
      <c r="AC9" s="0" t="n">
        <f aca="false">$B9/AC$1</f>
        <v>7.54716981132076E-005</v>
      </c>
      <c r="AD9" s="0" t="n">
        <f aca="false">$B9/AD$1</f>
        <v>7.27272727272727E-005</v>
      </c>
      <c r="AE9" s="0" t="n">
        <f aca="false">$B9/AE$1</f>
        <v>7.01754385964912E-005</v>
      </c>
      <c r="AF9" s="0" t="n">
        <f aca="false">$B9/AF$1</f>
        <v>6.77966101694915E-005</v>
      </c>
      <c r="AG9" s="0" t="n">
        <f aca="false">$B9/AG$1</f>
        <v>6.55737704918033E-005</v>
      </c>
      <c r="AH9" s="0" t="n">
        <f aca="false">$B9/AH$1</f>
        <v>6.34920634920635E-005</v>
      </c>
      <c r="AI9" s="0" t="n">
        <f aca="false">$B9/AI$1</f>
        <v>6.15384615384615E-005</v>
      </c>
      <c r="AJ9" s="0" t="n">
        <f aca="false">$B9/AJ$1</f>
        <v>5.97014925373134E-005</v>
      </c>
      <c r="AK9" s="0" t="n">
        <f aca="false">$B9/AK$1</f>
        <v>5.79710144927536E-005</v>
      </c>
      <c r="AL9" s="0" t="n">
        <f aca="false">$B9/AL$1</f>
        <v>5.63380281690141E-005</v>
      </c>
      <c r="AM9" s="0" t="n">
        <f aca="false">$B9/AM$1</f>
        <v>5.47945205479452E-005</v>
      </c>
      <c r="AN9" s="0" t="n">
        <f aca="false">$B9/AN$1</f>
        <v>5.33333333333333E-005</v>
      </c>
      <c r="AO9" s="0" t="n">
        <f aca="false">$B9/AO$1</f>
        <v>5.1948051948052E-005</v>
      </c>
      <c r="AP9" s="0" t="n">
        <f aca="false">$B9/AP$1</f>
        <v>5.06329113924051E-005</v>
      </c>
      <c r="AQ9" s="0" t="n">
        <f aca="false">$B9/AQ$1</f>
        <v>4.93827160493827E-005</v>
      </c>
      <c r="AR9" s="0" t="n">
        <f aca="false">$B9/AR$1</f>
        <v>4.81927710843374E-005</v>
      </c>
      <c r="AS9" s="0" t="n">
        <f aca="false">$B9/AS$1</f>
        <v>4.70588235294118E-005</v>
      </c>
      <c r="AT9" s="0" t="n">
        <f aca="false">$B9/AT$1</f>
        <v>4.59770114942529E-005</v>
      </c>
      <c r="AU9" s="0" t="n">
        <f aca="false">$B9/AU$1</f>
        <v>4.49438202247191E-005</v>
      </c>
      <c r="AV9" s="0" t="n">
        <f aca="false">$B9/AV$1</f>
        <v>4.3956043956044E-005</v>
      </c>
      <c r="AW9" s="0" t="n">
        <f aca="false">$B9/AW$1</f>
        <v>4.30107526881721E-005</v>
      </c>
      <c r="AX9" s="0" t="n">
        <f aca="false">$B9/AX$1</f>
        <v>4.21052631578947E-005</v>
      </c>
      <c r="AY9" s="0" t="n">
        <f aca="false">$B9/AY$1</f>
        <v>4.12371134020619E-005</v>
      </c>
      <c r="AZ9" s="0" t="n">
        <f aca="false">$B9/AZ$1</f>
        <v>4.04040404040404E-005</v>
      </c>
      <c r="BA9" s="0" t="n">
        <f aca="false">$B9/BA$1</f>
        <v>3.96039603960396E-005</v>
      </c>
      <c r="BB9" s="0" t="n">
        <f aca="false">$B9/BB$1</f>
        <v>3.88349514563107E-005</v>
      </c>
      <c r="BC9" s="0" t="n">
        <f aca="false">$B9/BC$1</f>
        <v>3.80952380952381E-005</v>
      </c>
      <c r="BD9" s="0" t="n">
        <f aca="false">$B9/BD$1</f>
        <v>3.73831775700935E-005</v>
      </c>
      <c r="BE9" s="0" t="n">
        <f aca="false">$B9/BE$1</f>
        <v>3.6697247706422E-005</v>
      </c>
      <c r="BF9" s="0" t="n">
        <f aca="false">$B9/BF$1</f>
        <v>3.6036036036036E-005</v>
      </c>
      <c r="BG9" s="0" t="n">
        <f aca="false">$B9/BG$1</f>
        <v>3.53982300884956E-005</v>
      </c>
      <c r="BH9" s="0" t="n">
        <f aca="false">$B9/BH$1</f>
        <v>3.47826086956522E-005</v>
      </c>
      <c r="BI9" s="0" t="n">
        <f aca="false">$B9/BI$1</f>
        <v>3.41880341880342E-005</v>
      </c>
      <c r="BJ9" s="0" t="n">
        <f aca="false">$B9/BJ$1</f>
        <v>3.36134453781513E-005</v>
      </c>
      <c r="BL9" s="0" t="n">
        <f aca="false">IF($B$3=1,COUNTIF(C9:BJ9,"&gt;="&amp;$C$3),0)</f>
        <v>0</v>
      </c>
      <c r="BM9" s="0" t="n">
        <f aca="false">IF($B$3=1,IF(OR(BS9&gt;=Settings!$B$5,Settings!$C$19&gt;0),MAX(BL9,Settings!$C$19),0),0)</f>
        <v>4</v>
      </c>
      <c r="BN9" s="0" t="n">
        <f aca="false">IF($B$3=1,IF(OR(BS9&gt;=Settings!$B$5,Settings!$C$19&gt;0),MAX(0,(2*MAX(BL9,Settings!$C$19)+1)*$C$3-BS9),MAX(0,Settings!$B$5-BS9)),"")</f>
        <v>0.0336119402985075</v>
      </c>
      <c r="BO9" s="0" t="str">
        <f aca="false">IF($B$3=1,IF(OR(BS9&gt;=Settings!$B$5,Settings!$C$19&gt;0),IF(BL9&lt;=Settings!$C$19,"Protected by electorates",IF(Settings!$C$19=0,MIN(BS9-(2*BL9-1)*$D$3,BS9-Settings!$B$5),BS9-(2*BL9-1)*$D$3)),""),"")</f>
        <v>Protected by electorates</v>
      </c>
      <c r="BP9" s="0" t="n">
        <f aca="false">IF($B$3=1,IF(OR(BS9&gt;=Settings!$B$5,Settings!$C$19&gt;0),MAX(0,MIN(1,(BS9/$C$3-(2*MAX(BL9,Settings!$C$19)-1))/2)),MIN(1,BS9/Settings!$B$5)),"")</f>
        <v>0</v>
      </c>
      <c r="BQ9" s="0" t="n">
        <f aca="false">IF(AND($B$3=1,COUNTIF(C9:BJ9,$C$3)&gt;0),1,0)</f>
        <v>0</v>
      </c>
      <c r="BR9" s="0" t="n">
        <f aca="false">IF(AND($B$3=1,COUNTIF(C9:BJ9,$D$3)&gt;0),1,0)</f>
        <v>0</v>
      </c>
      <c r="BS9" s="0" t="n">
        <f aca="false">N(IF(Polls!M6="",Polls!M37,Polls!M6))</f>
        <v>0.004</v>
      </c>
      <c r="BT9" s="0" t="str">
        <f aca="false">IF(OR(BS9&gt;=Settings!$B$5,Settings!$C$19&gt;0),"Next seat","Threshold")</f>
        <v>Next seat</v>
      </c>
    </row>
    <row r="10" customFormat="false" ht="15" hidden="false" customHeight="false" outlineLevel="0" collapsed="false">
      <c r="A10" s="0" t="s">
        <v>52</v>
      </c>
      <c r="B10" s="0" t="n">
        <f aca="false">IF(OR(BS10&gt;=Settings!$B$5,Settings!$C$20&gt;0),BS10,0)</f>
        <v>0.08</v>
      </c>
      <c r="C10" s="0" t="n">
        <f aca="false">$B10/C$1</f>
        <v>0.08</v>
      </c>
      <c r="D10" s="0" t="n">
        <f aca="false">$B10/D$1</f>
        <v>0.0266666666666667</v>
      </c>
      <c r="E10" s="0" t="n">
        <f aca="false">$B10/E$1</f>
        <v>0.016</v>
      </c>
      <c r="F10" s="0" t="n">
        <f aca="false">$B10/F$1</f>
        <v>0.0114285714285714</v>
      </c>
      <c r="G10" s="0" t="n">
        <f aca="false">$B10/G$1</f>
        <v>0.00888888888888889</v>
      </c>
      <c r="H10" s="0" t="n">
        <f aca="false">$B10/H$1</f>
        <v>0.00727272727272727</v>
      </c>
      <c r="I10" s="0" t="n">
        <f aca="false">$B10/I$1</f>
        <v>0.00615384615384615</v>
      </c>
      <c r="J10" s="0" t="n">
        <f aca="false">$B10/J$1</f>
        <v>0.00533333333333333</v>
      </c>
      <c r="K10" s="0" t="n">
        <f aca="false">$B10/K$1</f>
        <v>0.00470588235294118</v>
      </c>
      <c r="L10" s="0" t="n">
        <f aca="false">$B10/L$1</f>
        <v>0.00421052631578947</v>
      </c>
      <c r="M10" s="0" t="n">
        <f aca="false">$B10/M$1</f>
        <v>0.00380952380952381</v>
      </c>
      <c r="N10" s="0" t="n">
        <f aca="false">$B10/N$1</f>
        <v>0.00347826086956522</v>
      </c>
      <c r="O10" s="0" t="n">
        <f aca="false">$B10/O$1</f>
        <v>0.0032</v>
      </c>
      <c r="P10" s="0" t="n">
        <f aca="false">$B10/P$1</f>
        <v>0.00296296296296296</v>
      </c>
      <c r="Q10" s="0" t="n">
        <f aca="false">$B10/Q$1</f>
        <v>0.00275862068965517</v>
      </c>
      <c r="R10" s="0" t="n">
        <f aca="false">$B10/R$1</f>
        <v>0.00258064516129032</v>
      </c>
      <c r="S10" s="0" t="n">
        <f aca="false">$B10/S$1</f>
        <v>0.00242424242424242</v>
      </c>
      <c r="T10" s="0" t="n">
        <f aca="false">$B10/T$1</f>
        <v>0.00228571428571429</v>
      </c>
      <c r="U10" s="0" t="n">
        <f aca="false">$B10/U$1</f>
        <v>0.00216216216216216</v>
      </c>
      <c r="V10" s="0" t="n">
        <f aca="false">$B10/V$1</f>
        <v>0.00205128205128205</v>
      </c>
      <c r="W10" s="0" t="n">
        <f aca="false">$B10/W$1</f>
        <v>0.00195121951219512</v>
      </c>
      <c r="X10" s="0" t="n">
        <f aca="false">$B10/X$1</f>
        <v>0.00186046511627907</v>
      </c>
      <c r="Y10" s="0" t="n">
        <f aca="false">$B10/Y$1</f>
        <v>0.00177777777777778</v>
      </c>
      <c r="Z10" s="0" t="n">
        <f aca="false">$B10/Z$1</f>
        <v>0.00170212765957447</v>
      </c>
      <c r="AA10" s="0" t="n">
        <f aca="false">$B10/AA$1</f>
        <v>0.00163265306122449</v>
      </c>
      <c r="AB10" s="0" t="n">
        <f aca="false">$B10/AB$1</f>
        <v>0.00156862745098039</v>
      </c>
      <c r="AC10" s="0" t="n">
        <f aca="false">$B10/AC$1</f>
        <v>0.00150943396226415</v>
      </c>
      <c r="AD10" s="0" t="n">
        <f aca="false">$B10/AD$1</f>
        <v>0.00145454545454545</v>
      </c>
      <c r="AE10" s="0" t="n">
        <f aca="false">$B10/AE$1</f>
        <v>0.00140350877192982</v>
      </c>
      <c r="AF10" s="0" t="n">
        <f aca="false">$B10/AF$1</f>
        <v>0.00135593220338983</v>
      </c>
      <c r="AG10" s="0" t="n">
        <f aca="false">$B10/AG$1</f>
        <v>0.00131147540983607</v>
      </c>
      <c r="AH10" s="0" t="n">
        <f aca="false">$B10/AH$1</f>
        <v>0.00126984126984127</v>
      </c>
      <c r="AI10" s="0" t="n">
        <f aca="false">$B10/AI$1</f>
        <v>0.00123076923076923</v>
      </c>
      <c r="AJ10" s="0" t="n">
        <f aca="false">$B10/AJ$1</f>
        <v>0.00119402985074627</v>
      </c>
      <c r="AK10" s="0" t="n">
        <f aca="false">$B10/AK$1</f>
        <v>0.00115942028985507</v>
      </c>
      <c r="AL10" s="0" t="n">
        <f aca="false">$B10/AL$1</f>
        <v>0.00112676056338028</v>
      </c>
      <c r="AM10" s="0" t="n">
        <f aca="false">$B10/AM$1</f>
        <v>0.0010958904109589</v>
      </c>
      <c r="AN10" s="0" t="n">
        <f aca="false">$B10/AN$1</f>
        <v>0.00106666666666667</v>
      </c>
      <c r="AO10" s="0" t="n">
        <f aca="false">$B10/AO$1</f>
        <v>0.00103896103896104</v>
      </c>
      <c r="AP10" s="0" t="n">
        <f aca="false">$B10/AP$1</f>
        <v>0.0010126582278481</v>
      </c>
      <c r="AQ10" s="0" t="n">
        <f aca="false">$B10/AQ$1</f>
        <v>0.000987654320987654</v>
      </c>
      <c r="AR10" s="0" t="n">
        <f aca="false">$B10/AR$1</f>
        <v>0.000963855421686747</v>
      </c>
      <c r="AS10" s="0" t="n">
        <f aca="false">$B10/AS$1</f>
        <v>0.000941176470588235</v>
      </c>
      <c r="AT10" s="0" t="n">
        <f aca="false">$B10/AT$1</f>
        <v>0.000919540229885057</v>
      </c>
      <c r="AU10" s="0" t="n">
        <f aca="false">$B10/AU$1</f>
        <v>0.000898876404494382</v>
      </c>
      <c r="AV10" s="0" t="n">
        <f aca="false">$B10/AV$1</f>
        <v>0.000879120879120879</v>
      </c>
      <c r="AW10" s="0" t="n">
        <f aca="false">$B10/AW$1</f>
        <v>0.000860215053763441</v>
      </c>
      <c r="AX10" s="0" t="n">
        <f aca="false">$B10/AX$1</f>
        <v>0.000842105263157895</v>
      </c>
      <c r="AY10" s="0" t="n">
        <f aca="false">$B10/AY$1</f>
        <v>0.000824742268041237</v>
      </c>
      <c r="AZ10" s="0" t="n">
        <f aca="false">$B10/AZ$1</f>
        <v>0.000808080808080808</v>
      </c>
      <c r="BA10" s="0" t="n">
        <f aca="false">$B10/BA$1</f>
        <v>0.000792079207920792</v>
      </c>
      <c r="BB10" s="0" t="n">
        <f aca="false">$B10/BB$1</f>
        <v>0.000776699029126214</v>
      </c>
      <c r="BC10" s="0" t="n">
        <f aca="false">$B10/BC$1</f>
        <v>0.000761904761904762</v>
      </c>
      <c r="BD10" s="0" t="n">
        <f aca="false">$B10/BD$1</f>
        <v>0.000747663551401869</v>
      </c>
      <c r="BE10" s="0" t="n">
        <f aca="false">$B10/BE$1</f>
        <v>0.00073394495412844</v>
      </c>
      <c r="BF10" s="0" t="n">
        <f aca="false">$B10/BF$1</f>
        <v>0.000720720720720721</v>
      </c>
      <c r="BG10" s="0" t="n">
        <f aca="false">$B10/BG$1</f>
        <v>0.000707964601769912</v>
      </c>
      <c r="BH10" s="0" t="n">
        <f aca="false">$B10/BH$1</f>
        <v>0.000695652173913044</v>
      </c>
      <c r="BI10" s="0" t="n">
        <f aca="false">$B10/BI$1</f>
        <v>0.000683760683760684</v>
      </c>
      <c r="BJ10" s="0" t="n">
        <f aca="false">$B10/BJ$1</f>
        <v>0.000672268907563025</v>
      </c>
      <c r="BL10" s="0" t="n">
        <f aca="false">IF($B$3=1,COUNTIF(C10:BJ10,"&gt;="&amp;$C$3),0)</f>
        <v>10</v>
      </c>
      <c r="BM10" s="0" t="n">
        <f aca="false">IF($B$3=1,IF(OR(BS10&gt;=Settings!$B$5,Settings!$C$20&gt;0),MAX(BL10,Settings!$C$20),0),0)</f>
        <v>10</v>
      </c>
      <c r="BN10" s="0" t="n">
        <f aca="false">IF($B$3=1,IF(OR(BS10&gt;=Settings!$B$5,Settings!$C$20&gt;0),MAX(0,(2*MAX(BL10,Settings!$C$20)+1)*$C$3-BS10),MAX(0,Settings!$B$5-BS10)),"")</f>
        <v>0.00776119402985076</v>
      </c>
      <c r="BO10" s="0" t="n">
        <f aca="false">IF($B$3=1,IF(OR(BS10&gt;=Settings!$B$5,Settings!$C$20&gt;0),IF(BL10&lt;=Settings!$C$20,"Protected by electorates",IF(Settings!$C$20=0,MIN(BS10-(2*BL10-1)*$D$3,BS10-Settings!$B$5),BS10-(2*BL10-1)*$D$3)),""),"")</f>
        <v>0.00289855072463768</v>
      </c>
      <c r="BP10" s="0" t="n">
        <f aca="false">IF($B$3=1,IF(OR(BS10&gt;=Settings!$B$5,Settings!$C$20&gt;0),MAX(0,MIN(1,(BS10/$C$3-(2*MAX(BL10,Settings!$C$20)-1))/2)),MIN(1,BS10/Settings!$B$5)),"")</f>
        <v>0.0714285714285712</v>
      </c>
      <c r="BQ10" s="0" t="n">
        <f aca="false">IF(AND($B$3=1,COUNTIF(C10:BJ10,$C$3)&gt;0),1,0)</f>
        <v>0</v>
      </c>
      <c r="BR10" s="0" t="n">
        <f aca="false">IF(AND($B$3=1,COUNTIF(C10:BJ10,$D$3)&gt;0),1,0)</f>
        <v>0</v>
      </c>
      <c r="BS10" s="0" t="n">
        <f aca="false">N(IF(Polls!N6="",Polls!N37,Polls!N6))</f>
        <v>0.08</v>
      </c>
      <c r="BT10" s="0" t="str">
        <f aca="false">IF(OR(BS10&gt;=Settings!$B$5,Settings!$C$20&gt;0),"Next seat","Threshold")</f>
        <v>Next seat</v>
      </c>
    </row>
    <row r="12" customFormat="false" ht="15" hidden="false" customHeight="false" outlineLevel="0" collapsed="false">
      <c r="A12" s="41" t="str">
        <f aca="false">Polls!A7</f>
        <v>Curia Oct</v>
      </c>
      <c r="B12" s="17" t="n">
        <f aca="false">IF(SUM(BS13:BS19)&gt;0,1,0)</f>
        <v>1</v>
      </c>
      <c r="C12" s="17" t="n">
        <f aca="false">IF(B12=1,LARGE(C13:BJ19,Settings!$B$4),0)</f>
        <v>0.00387096774193548</v>
      </c>
      <c r="D12" s="17" t="n">
        <f aca="false">IF(B12=1,LARGE(C13:BJ19,Settings!$B$4+1),0)</f>
        <v>0.00386301369863014</v>
      </c>
      <c r="E12" s="0" t="str">
        <f aca="false">IF(B12=1,IFERROR(INDEX(A13:A19,MATCH(1,BQ13:BQ19,0)),""),"")</f>
        <v>NZF</v>
      </c>
      <c r="F12" s="0" t="str">
        <f aca="false">IF(B12=1,IFERROR(INDEX(A13:A19,MATCH(1,BR13:BR19,0)),""),"")</f>
        <v>LAB</v>
      </c>
      <c r="G12" s="17" t="n">
        <f aca="false">IF(B12=1,SUM(BM13:BM19)+Settings!$B$10,"")</f>
        <v>122</v>
      </c>
    </row>
    <row r="13" customFormat="false" ht="15" hidden="false" customHeight="false" outlineLevel="0" collapsed="false">
      <c r="A13" s="0" t="s">
        <v>41</v>
      </c>
      <c r="B13" s="0" t="n">
        <f aca="false">IF(OR(BS13&gt;=Settings!$B$5,Settings!$C$14&gt;0),BS13,0)</f>
        <v>0.285</v>
      </c>
      <c r="C13" s="0" t="n">
        <f aca="false">$B13/C$1</f>
        <v>0.285</v>
      </c>
      <c r="D13" s="0" t="n">
        <f aca="false">$B13/D$1</f>
        <v>0.095</v>
      </c>
      <c r="E13" s="0" t="n">
        <f aca="false">$B13/E$1</f>
        <v>0.057</v>
      </c>
      <c r="F13" s="0" t="n">
        <f aca="false">$B13/F$1</f>
        <v>0.0407142857142857</v>
      </c>
      <c r="G13" s="0" t="n">
        <f aca="false">$B13/G$1</f>
        <v>0.0316666666666667</v>
      </c>
      <c r="H13" s="0" t="n">
        <f aca="false">$B13/H$1</f>
        <v>0.0259090909090909</v>
      </c>
      <c r="I13" s="0" t="n">
        <f aca="false">$B13/I$1</f>
        <v>0.0219230769230769</v>
      </c>
      <c r="J13" s="0" t="n">
        <f aca="false">$B13/J$1</f>
        <v>0.019</v>
      </c>
      <c r="K13" s="0" t="n">
        <f aca="false">$B13/K$1</f>
        <v>0.0167647058823529</v>
      </c>
      <c r="L13" s="0" t="n">
        <f aca="false">$B13/L$1</f>
        <v>0.015</v>
      </c>
      <c r="M13" s="0" t="n">
        <f aca="false">$B13/M$1</f>
        <v>0.0135714285714286</v>
      </c>
      <c r="N13" s="0" t="n">
        <f aca="false">$B13/N$1</f>
        <v>0.0123913043478261</v>
      </c>
      <c r="O13" s="0" t="n">
        <f aca="false">$B13/O$1</f>
        <v>0.0114</v>
      </c>
      <c r="P13" s="0" t="n">
        <f aca="false">$B13/P$1</f>
        <v>0.0105555555555556</v>
      </c>
      <c r="Q13" s="0" t="n">
        <f aca="false">$B13/Q$1</f>
        <v>0.00982758620689655</v>
      </c>
      <c r="R13" s="0" t="n">
        <f aca="false">$B13/R$1</f>
        <v>0.00919354838709677</v>
      </c>
      <c r="S13" s="0" t="n">
        <f aca="false">$B13/S$1</f>
        <v>0.00863636363636364</v>
      </c>
      <c r="T13" s="0" t="n">
        <f aca="false">$B13/T$1</f>
        <v>0.00814285714285714</v>
      </c>
      <c r="U13" s="0" t="n">
        <f aca="false">$B13/U$1</f>
        <v>0.0077027027027027</v>
      </c>
      <c r="V13" s="0" t="n">
        <f aca="false">$B13/V$1</f>
        <v>0.00730769230769231</v>
      </c>
      <c r="W13" s="0" t="n">
        <f aca="false">$B13/W$1</f>
        <v>0.00695121951219512</v>
      </c>
      <c r="X13" s="0" t="n">
        <f aca="false">$B13/X$1</f>
        <v>0.00662790697674419</v>
      </c>
      <c r="Y13" s="0" t="n">
        <f aca="false">$B13/Y$1</f>
        <v>0.00633333333333333</v>
      </c>
      <c r="Z13" s="0" t="n">
        <f aca="false">$B13/Z$1</f>
        <v>0.00606382978723404</v>
      </c>
      <c r="AA13" s="0" t="n">
        <f aca="false">$B13/AA$1</f>
        <v>0.00581632653061224</v>
      </c>
      <c r="AB13" s="0" t="n">
        <f aca="false">$B13/AB$1</f>
        <v>0.00558823529411765</v>
      </c>
      <c r="AC13" s="0" t="n">
        <f aca="false">$B13/AC$1</f>
        <v>0.00537735849056604</v>
      </c>
      <c r="AD13" s="0" t="n">
        <f aca="false">$B13/AD$1</f>
        <v>0.00518181818181818</v>
      </c>
      <c r="AE13" s="0" t="n">
        <f aca="false">$B13/AE$1</f>
        <v>0.005</v>
      </c>
      <c r="AF13" s="0" t="n">
        <f aca="false">$B13/AF$1</f>
        <v>0.00483050847457627</v>
      </c>
      <c r="AG13" s="0" t="n">
        <f aca="false">$B13/AG$1</f>
        <v>0.00467213114754098</v>
      </c>
      <c r="AH13" s="0" t="n">
        <f aca="false">$B13/AH$1</f>
        <v>0.00452380952380952</v>
      </c>
      <c r="AI13" s="0" t="n">
        <f aca="false">$B13/AI$1</f>
        <v>0.00438461538461538</v>
      </c>
      <c r="AJ13" s="0" t="n">
        <f aca="false">$B13/AJ$1</f>
        <v>0.00425373134328358</v>
      </c>
      <c r="AK13" s="0" t="n">
        <f aca="false">$B13/AK$1</f>
        <v>0.0041304347826087</v>
      </c>
      <c r="AL13" s="0" t="n">
        <f aca="false">$B13/AL$1</f>
        <v>0.00401408450704225</v>
      </c>
      <c r="AM13" s="0" t="n">
        <f aca="false">$B13/AM$1</f>
        <v>0.0039041095890411</v>
      </c>
      <c r="AN13" s="0" t="n">
        <f aca="false">$B13/AN$1</f>
        <v>0.0038</v>
      </c>
      <c r="AO13" s="0" t="n">
        <f aca="false">$B13/AO$1</f>
        <v>0.0037012987012987</v>
      </c>
      <c r="AP13" s="0" t="n">
        <f aca="false">$B13/AP$1</f>
        <v>0.00360759493670886</v>
      </c>
      <c r="AQ13" s="0" t="n">
        <f aca="false">$B13/AQ$1</f>
        <v>0.00351851851851852</v>
      </c>
      <c r="AR13" s="0" t="n">
        <f aca="false">$B13/AR$1</f>
        <v>0.00343373493975904</v>
      </c>
      <c r="AS13" s="0" t="n">
        <f aca="false">$B13/AS$1</f>
        <v>0.00335294117647059</v>
      </c>
      <c r="AT13" s="0" t="n">
        <f aca="false">$B13/AT$1</f>
        <v>0.00327586206896552</v>
      </c>
      <c r="AU13" s="0" t="n">
        <f aca="false">$B13/AU$1</f>
        <v>0.00320224719101124</v>
      </c>
      <c r="AV13" s="0" t="n">
        <f aca="false">$B13/AV$1</f>
        <v>0.00313186813186813</v>
      </c>
      <c r="AW13" s="0" t="n">
        <f aca="false">$B13/AW$1</f>
        <v>0.00306451612903226</v>
      </c>
      <c r="AX13" s="0" t="n">
        <f aca="false">$B13/AX$1</f>
        <v>0.003</v>
      </c>
      <c r="AY13" s="0" t="n">
        <f aca="false">$B13/AY$1</f>
        <v>0.00293814432989691</v>
      </c>
      <c r="AZ13" s="0" t="n">
        <f aca="false">$B13/AZ$1</f>
        <v>0.00287878787878788</v>
      </c>
      <c r="BA13" s="0" t="n">
        <f aca="false">$B13/BA$1</f>
        <v>0.00282178217821782</v>
      </c>
      <c r="BB13" s="0" t="n">
        <f aca="false">$B13/BB$1</f>
        <v>0.00276699029126214</v>
      </c>
      <c r="BC13" s="0" t="n">
        <f aca="false">$B13/BC$1</f>
        <v>0.00271428571428571</v>
      </c>
      <c r="BD13" s="0" t="n">
        <f aca="false">$B13/BD$1</f>
        <v>0.00266355140186916</v>
      </c>
      <c r="BE13" s="0" t="n">
        <f aca="false">$B13/BE$1</f>
        <v>0.00261467889908257</v>
      </c>
      <c r="BF13" s="0" t="n">
        <f aca="false">$B13/BF$1</f>
        <v>0.00256756756756757</v>
      </c>
      <c r="BG13" s="0" t="n">
        <f aca="false">$B13/BG$1</f>
        <v>0.00252212389380531</v>
      </c>
      <c r="BH13" s="0" t="n">
        <f aca="false">$B13/BH$1</f>
        <v>0.00247826086956522</v>
      </c>
      <c r="BI13" s="0" t="n">
        <f aca="false">$B13/BI$1</f>
        <v>0.00243589743589744</v>
      </c>
      <c r="BJ13" s="0" t="n">
        <f aca="false">$B13/BJ$1</f>
        <v>0.00239495798319328</v>
      </c>
      <c r="BL13" s="0" t="n">
        <f aca="false">IF($B$12=1,COUNTIF(C13:BJ13,"&gt;="&amp;$C$12),0)</f>
        <v>37</v>
      </c>
      <c r="BM13" s="0" t="n">
        <f aca="false">IF($B$12=1,IF(OR(BS13&gt;=Settings!$B$5,Settings!$C$14&gt;0),MAX(BL13,Settings!$C$14),0),0)</f>
        <v>37</v>
      </c>
      <c r="BN13" s="0" t="n">
        <f aca="false">IF($B$12=1,IF(OR(BS13&gt;=Settings!$B$5,Settings!$C$14&gt;0),MAX(0,(2*MAX(BL13,Settings!$C$14)+1)*$C$12-BS13),MAX(0,Settings!$B$5-BS13)),"")</f>
        <v>0.00532258064516133</v>
      </c>
      <c r="BO13" s="0" t="n">
        <f aca="false">IF($B$12=1,IF(OR(BS13&gt;=Settings!$B$5,Settings!$C$14&gt;0),IF(BL13&lt;=Settings!$C$14,"Protected by electorates",IF(Settings!$C$14=0,MIN(BS13-(2*BL13-1)*$D$12,BS13-Settings!$B$5),BS13-(2*BL13-1)*$D$12)),""),"")</f>
        <v>0.003</v>
      </c>
      <c r="BP13" s="0" t="n">
        <f aca="false">IF($B$12=1,IF(OR(BS13&gt;=Settings!$B$5,Settings!$C$14&gt;0),MAX(0,MIN(1,(BS13/$C$12-(2*MAX(BL13,Settings!$C$14)-1))/2)),MIN(1,BS13/Settings!$B$5)),"")</f>
        <v>0.3125</v>
      </c>
      <c r="BQ13" s="0" t="n">
        <f aca="false">IF(AND($B$12=1,COUNTIF(C13:BJ13,$C$12)&gt;0),1,0)</f>
        <v>0</v>
      </c>
      <c r="BR13" s="0" t="n">
        <f aca="false">IF(AND($B$12=1,COUNTIF(C13:BJ13,$D$12)&gt;0),1,0)</f>
        <v>0</v>
      </c>
      <c r="BS13" s="0" t="n">
        <f aca="false">N(IF(Polls!H7="",Polls!H37,Polls!H7))</f>
        <v>0.285</v>
      </c>
      <c r="BT13" s="0" t="str">
        <f aca="false">IF(OR(BS13&gt;=Settings!$B$5,Settings!$C$14&gt;0),"Next seat","Threshold")</f>
        <v>Next seat</v>
      </c>
    </row>
    <row r="14" customFormat="false" ht="15" hidden="false" customHeight="false" outlineLevel="0" collapsed="false">
      <c r="A14" s="0" t="s">
        <v>43</v>
      </c>
      <c r="B14" s="0" t="n">
        <f aca="false">IF(OR(BS14&gt;=Settings!$B$5,Settings!$C$15&gt;0),BS14,0)</f>
        <v>0.282</v>
      </c>
      <c r="C14" s="0" t="n">
        <f aca="false">$B14/C$1</f>
        <v>0.282</v>
      </c>
      <c r="D14" s="0" t="n">
        <f aca="false">$B14/D$1</f>
        <v>0.094</v>
      </c>
      <c r="E14" s="0" t="n">
        <f aca="false">$B14/E$1</f>
        <v>0.0564</v>
      </c>
      <c r="F14" s="0" t="n">
        <f aca="false">$B14/F$1</f>
        <v>0.0402857142857143</v>
      </c>
      <c r="G14" s="0" t="n">
        <f aca="false">$B14/G$1</f>
        <v>0.0313333333333333</v>
      </c>
      <c r="H14" s="0" t="n">
        <f aca="false">$B14/H$1</f>
        <v>0.0256363636363636</v>
      </c>
      <c r="I14" s="0" t="n">
        <f aca="false">$B14/I$1</f>
        <v>0.0216923076923077</v>
      </c>
      <c r="J14" s="0" t="n">
        <f aca="false">$B14/J$1</f>
        <v>0.0188</v>
      </c>
      <c r="K14" s="0" t="n">
        <f aca="false">$B14/K$1</f>
        <v>0.0165882352941176</v>
      </c>
      <c r="L14" s="0" t="n">
        <f aca="false">$B14/L$1</f>
        <v>0.0148421052631579</v>
      </c>
      <c r="M14" s="0" t="n">
        <f aca="false">$B14/M$1</f>
        <v>0.0134285714285714</v>
      </c>
      <c r="N14" s="0" t="n">
        <f aca="false">$B14/N$1</f>
        <v>0.0122608695652174</v>
      </c>
      <c r="O14" s="0" t="n">
        <f aca="false">$B14/O$1</f>
        <v>0.01128</v>
      </c>
      <c r="P14" s="0" t="n">
        <f aca="false">$B14/P$1</f>
        <v>0.0104444444444444</v>
      </c>
      <c r="Q14" s="0" t="n">
        <f aca="false">$B14/Q$1</f>
        <v>0.00972413793103448</v>
      </c>
      <c r="R14" s="0" t="n">
        <f aca="false">$B14/R$1</f>
        <v>0.00909677419354839</v>
      </c>
      <c r="S14" s="0" t="n">
        <f aca="false">$B14/S$1</f>
        <v>0.00854545454545455</v>
      </c>
      <c r="T14" s="0" t="n">
        <f aca="false">$B14/T$1</f>
        <v>0.00805714285714286</v>
      </c>
      <c r="U14" s="0" t="n">
        <f aca="false">$B14/U$1</f>
        <v>0.00762162162162162</v>
      </c>
      <c r="V14" s="0" t="n">
        <f aca="false">$B14/V$1</f>
        <v>0.00723076923076923</v>
      </c>
      <c r="W14" s="0" t="n">
        <f aca="false">$B14/W$1</f>
        <v>0.0068780487804878</v>
      </c>
      <c r="X14" s="0" t="n">
        <f aca="false">$B14/X$1</f>
        <v>0.00655813953488372</v>
      </c>
      <c r="Y14" s="0" t="n">
        <f aca="false">$B14/Y$1</f>
        <v>0.00626666666666667</v>
      </c>
      <c r="Z14" s="0" t="n">
        <f aca="false">$B14/Z$1</f>
        <v>0.006</v>
      </c>
      <c r="AA14" s="0" t="n">
        <f aca="false">$B14/AA$1</f>
        <v>0.00575510204081633</v>
      </c>
      <c r="AB14" s="0" t="n">
        <f aca="false">$B14/AB$1</f>
        <v>0.00552941176470588</v>
      </c>
      <c r="AC14" s="0" t="n">
        <f aca="false">$B14/AC$1</f>
        <v>0.00532075471698113</v>
      </c>
      <c r="AD14" s="0" t="n">
        <f aca="false">$B14/AD$1</f>
        <v>0.00512727272727273</v>
      </c>
      <c r="AE14" s="0" t="n">
        <f aca="false">$B14/AE$1</f>
        <v>0.00494736842105263</v>
      </c>
      <c r="AF14" s="0" t="n">
        <f aca="false">$B14/AF$1</f>
        <v>0.00477966101694915</v>
      </c>
      <c r="AG14" s="0" t="n">
        <f aca="false">$B14/AG$1</f>
        <v>0.00462295081967213</v>
      </c>
      <c r="AH14" s="0" t="n">
        <f aca="false">$B14/AH$1</f>
        <v>0.00447619047619048</v>
      </c>
      <c r="AI14" s="0" t="n">
        <f aca="false">$B14/AI$1</f>
        <v>0.00433846153846154</v>
      </c>
      <c r="AJ14" s="0" t="n">
        <f aca="false">$B14/AJ$1</f>
        <v>0.0042089552238806</v>
      </c>
      <c r="AK14" s="0" t="n">
        <f aca="false">$B14/AK$1</f>
        <v>0.00408695652173913</v>
      </c>
      <c r="AL14" s="0" t="n">
        <f aca="false">$B14/AL$1</f>
        <v>0.00397183098591549</v>
      </c>
      <c r="AM14" s="0" t="n">
        <f aca="false">$B14/AM$1</f>
        <v>0.00386301369863014</v>
      </c>
      <c r="AN14" s="0" t="n">
        <f aca="false">$B14/AN$1</f>
        <v>0.00376</v>
      </c>
      <c r="AO14" s="0" t="n">
        <f aca="false">$B14/AO$1</f>
        <v>0.00366233766233766</v>
      </c>
      <c r="AP14" s="0" t="n">
        <f aca="false">$B14/AP$1</f>
        <v>0.00356962025316456</v>
      </c>
      <c r="AQ14" s="0" t="n">
        <f aca="false">$B14/AQ$1</f>
        <v>0.00348148148148148</v>
      </c>
      <c r="AR14" s="0" t="n">
        <f aca="false">$B14/AR$1</f>
        <v>0.00339759036144578</v>
      </c>
      <c r="AS14" s="0" t="n">
        <f aca="false">$B14/AS$1</f>
        <v>0.00331764705882353</v>
      </c>
      <c r="AT14" s="0" t="n">
        <f aca="false">$B14/AT$1</f>
        <v>0.00324137931034483</v>
      </c>
      <c r="AU14" s="0" t="n">
        <f aca="false">$B14/AU$1</f>
        <v>0.0031685393258427</v>
      </c>
      <c r="AV14" s="0" t="n">
        <f aca="false">$B14/AV$1</f>
        <v>0.0030989010989011</v>
      </c>
      <c r="AW14" s="0" t="n">
        <f aca="false">$B14/AW$1</f>
        <v>0.00303225806451613</v>
      </c>
      <c r="AX14" s="0" t="n">
        <f aca="false">$B14/AX$1</f>
        <v>0.00296842105263158</v>
      </c>
      <c r="AY14" s="0" t="n">
        <f aca="false">$B14/AY$1</f>
        <v>0.00290721649484536</v>
      </c>
      <c r="AZ14" s="0" t="n">
        <f aca="false">$B14/AZ$1</f>
        <v>0.00284848484848485</v>
      </c>
      <c r="BA14" s="0" t="n">
        <f aca="false">$B14/BA$1</f>
        <v>0.00279207920792079</v>
      </c>
      <c r="BB14" s="0" t="n">
        <f aca="false">$B14/BB$1</f>
        <v>0.0027378640776699</v>
      </c>
      <c r="BC14" s="0" t="n">
        <f aca="false">$B14/BC$1</f>
        <v>0.00268571428571429</v>
      </c>
      <c r="BD14" s="0" t="n">
        <f aca="false">$B14/BD$1</f>
        <v>0.00263551401869159</v>
      </c>
      <c r="BE14" s="0" t="n">
        <f aca="false">$B14/BE$1</f>
        <v>0.00258715596330275</v>
      </c>
      <c r="BF14" s="0" t="n">
        <f aca="false">$B14/BF$1</f>
        <v>0.00254054054054054</v>
      </c>
      <c r="BG14" s="0" t="n">
        <f aca="false">$B14/BG$1</f>
        <v>0.00249557522123894</v>
      </c>
      <c r="BH14" s="0" t="n">
        <f aca="false">$B14/BH$1</f>
        <v>0.00245217391304348</v>
      </c>
      <c r="BI14" s="0" t="n">
        <f aca="false">$B14/BI$1</f>
        <v>0.00241025641025641</v>
      </c>
      <c r="BJ14" s="0" t="n">
        <f aca="false">$B14/BJ$1</f>
        <v>0.00236974789915966</v>
      </c>
      <c r="BL14" s="0" t="n">
        <f aca="false">IF($B$12=1,COUNTIF(C14:BJ14,"&gt;="&amp;$C$12),0)</f>
        <v>36</v>
      </c>
      <c r="BM14" s="0" t="n">
        <f aca="false">IF($B$12=1,IF(OR(BS14&gt;=Settings!$B$5,Settings!$C$15&gt;0),MAX(BL14,Settings!$C$15),0),0)</f>
        <v>36</v>
      </c>
      <c r="BN14" s="0" t="n">
        <f aca="false">IF($B$12=1,IF(OR(BS14&gt;=Settings!$B$5,Settings!$C$15&gt;0),MAX(0,(2*MAX(BL14,Settings!$C$15)+1)*$C$12-BS14),MAX(0,Settings!$B$5-BS14)),"")</f>
        <v>0.000580645161290361</v>
      </c>
      <c r="BO14" s="0" t="n">
        <f aca="false">IF($B$12=1,IF(OR(BS14&gt;=Settings!$B$5,Settings!$C$15&gt;0),IF(BL14&lt;=Settings!$C$15,"Protected by electorates",IF(Settings!$C$15=0,MIN(BS14-(2*BL14-1)*$D$12,BS14-Settings!$B$5),BS14-(2*BL14-1)*$D$12)),""),"")</f>
        <v>0.00772602739726025</v>
      </c>
      <c r="BP14" s="0" t="n">
        <f aca="false">IF($B$12=1,IF(OR(BS14&gt;=Settings!$B$5,Settings!$C$15&gt;0),MAX(0,MIN(1,(BS14/$C$12-(2*MAX(BL14,Settings!$C$15)-1))/2)),MIN(1,BS14/Settings!$B$5)),"")</f>
        <v>0.924999999999997</v>
      </c>
      <c r="BQ14" s="0" t="n">
        <f aca="false">IF(AND($B$12=1,COUNTIF(C14:BJ14,$C$12)&gt;0),1,0)</f>
        <v>0</v>
      </c>
      <c r="BR14" s="0" t="n">
        <f aca="false">IF(AND($B$12=1,COUNTIF(C14:BJ14,$D$12)&gt;0),1,0)</f>
        <v>1</v>
      </c>
      <c r="BS14" s="0" t="n">
        <f aca="false">N(IF(Polls!I7="",Polls!I37,Polls!I7))</f>
        <v>0.282</v>
      </c>
      <c r="BT14" s="0" t="str">
        <f aca="false">IF(OR(BS14&gt;=Settings!$B$5,Settings!$C$15&gt;0),"Next seat","Threshold")</f>
        <v>Next seat</v>
      </c>
    </row>
    <row r="15" customFormat="false" ht="15" hidden="false" customHeight="false" outlineLevel="0" collapsed="false">
      <c r="A15" s="0" t="s">
        <v>45</v>
      </c>
      <c r="B15" s="0" t="n">
        <f aca="false">IF(OR(BS15&gt;=Settings!$B$5,Settings!$C$16&gt;0),BS15,0)</f>
        <v>0.133</v>
      </c>
      <c r="C15" s="0" t="n">
        <f aca="false">$B15/C$1</f>
        <v>0.133</v>
      </c>
      <c r="D15" s="0" t="n">
        <f aca="false">$B15/D$1</f>
        <v>0.0443333333333333</v>
      </c>
      <c r="E15" s="0" t="n">
        <f aca="false">$B15/E$1</f>
        <v>0.0266</v>
      </c>
      <c r="F15" s="0" t="n">
        <f aca="false">$B15/F$1</f>
        <v>0.019</v>
      </c>
      <c r="G15" s="0" t="n">
        <f aca="false">$B15/G$1</f>
        <v>0.0147777777777778</v>
      </c>
      <c r="H15" s="0" t="n">
        <f aca="false">$B15/H$1</f>
        <v>0.0120909090909091</v>
      </c>
      <c r="I15" s="0" t="n">
        <f aca="false">$B15/I$1</f>
        <v>0.0102307692307692</v>
      </c>
      <c r="J15" s="0" t="n">
        <f aca="false">$B15/J$1</f>
        <v>0.00886666666666667</v>
      </c>
      <c r="K15" s="0" t="n">
        <f aca="false">$B15/K$1</f>
        <v>0.00782352941176471</v>
      </c>
      <c r="L15" s="0" t="n">
        <f aca="false">$B15/L$1</f>
        <v>0.007</v>
      </c>
      <c r="M15" s="0" t="n">
        <f aca="false">$B15/M$1</f>
        <v>0.00633333333333333</v>
      </c>
      <c r="N15" s="0" t="n">
        <f aca="false">$B15/N$1</f>
        <v>0.00578260869565218</v>
      </c>
      <c r="O15" s="0" t="n">
        <f aca="false">$B15/O$1</f>
        <v>0.00532</v>
      </c>
      <c r="P15" s="0" t="n">
        <f aca="false">$B15/P$1</f>
        <v>0.00492592592592593</v>
      </c>
      <c r="Q15" s="0" t="n">
        <f aca="false">$B15/Q$1</f>
        <v>0.00458620689655172</v>
      </c>
      <c r="R15" s="0" t="n">
        <f aca="false">$B15/R$1</f>
        <v>0.00429032258064516</v>
      </c>
      <c r="S15" s="0" t="n">
        <f aca="false">$B15/S$1</f>
        <v>0.00403030303030303</v>
      </c>
      <c r="T15" s="0" t="n">
        <f aca="false">$B15/T$1</f>
        <v>0.0038</v>
      </c>
      <c r="U15" s="0" t="n">
        <f aca="false">$B15/U$1</f>
        <v>0.0035945945945946</v>
      </c>
      <c r="V15" s="0" t="n">
        <f aca="false">$B15/V$1</f>
        <v>0.00341025641025641</v>
      </c>
      <c r="W15" s="0" t="n">
        <f aca="false">$B15/W$1</f>
        <v>0.00324390243902439</v>
      </c>
      <c r="X15" s="0" t="n">
        <f aca="false">$B15/X$1</f>
        <v>0.00309302325581395</v>
      </c>
      <c r="Y15" s="0" t="n">
        <f aca="false">$B15/Y$1</f>
        <v>0.00295555555555556</v>
      </c>
      <c r="Z15" s="0" t="n">
        <f aca="false">$B15/Z$1</f>
        <v>0.00282978723404255</v>
      </c>
      <c r="AA15" s="0" t="n">
        <f aca="false">$B15/AA$1</f>
        <v>0.00271428571428571</v>
      </c>
      <c r="AB15" s="0" t="n">
        <f aca="false">$B15/AB$1</f>
        <v>0.0026078431372549</v>
      </c>
      <c r="AC15" s="0" t="n">
        <f aca="false">$B15/AC$1</f>
        <v>0.00250943396226415</v>
      </c>
      <c r="AD15" s="0" t="n">
        <f aca="false">$B15/AD$1</f>
        <v>0.00241818181818182</v>
      </c>
      <c r="AE15" s="0" t="n">
        <f aca="false">$B15/AE$1</f>
        <v>0.00233333333333333</v>
      </c>
      <c r="AF15" s="0" t="n">
        <f aca="false">$B15/AF$1</f>
        <v>0.00225423728813559</v>
      </c>
      <c r="AG15" s="0" t="n">
        <f aca="false">$B15/AG$1</f>
        <v>0.00218032786885246</v>
      </c>
      <c r="AH15" s="0" t="n">
        <f aca="false">$B15/AH$1</f>
        <v>0.00211111111111111</v>
      </c>
      <c r="AI15" s="0" t="n">
        <f aca="false">$B15/AI$1</f>
        <v>0.00204615384615385</v>
      </c>
      <c r="AJ15" s="0" t="n">
        <f aca="false">$B15/AJ$1</f>
        <v>0.00198507462686567</v>
      </c>
      <c r="AK15" s="0" t="n">
        <f aca="false">$B15/AK$1</f>
        <v>0.00192753623188406</v>
      </c>
      <c r="AL15" s="0" t="n">
        <f aca="false">$B15/AL$1</f>
        <v>0.00187323943661972</v>
      </c>
      <c r="AM15" s="0" t="n">
        <f aca="false">$B15/AM$1</f>
        <v>0.00182191780821918</v>
      </c>
      <c r="AN15" s="0" t="n">
        <f aca="false">$B15/AN$1</f>
        <v>0.00177333333333333</v>
      </c>
      <c r="AO15" s="0" t="n">
        <f aca="false">$B15/AO$1</f>
        <v>0.00172727272727273</v>
      </c>
      <c r="AP15" s="0" t="n">
        <f aca="false">$B15/AP$1</f>
        <v>0.00168354430379747</v>
      </c>
      <c r="AQ15" s="0" t="n">
        <f aca="false">$B15/AQ$1</f>
        <v>0.00164197530864198</v>
      </c>
      <c r="AR15" s="0" t="n">
        <f aca="false">$B15/AR$1</f>
        <v>0.00160240963855422</v>
      </c>
      <c r="AS15" s="0" t="n">
        <f aca="false">$B15/AS$1</f>
        <v>0.00156470588235294</v>
      </c>
      <c r="AT15" s="0" t="n">
        <f aca="false">$B15/AT$1</f>
        <v>0.00152873563218391</v>
      </c>
      <c r="AU15" s="0" t="n">
        <f aca="false">$B15/AU$1</f>
        <v>0.00149438202247191</v>
      </c>
      <c r="AV15" s="0" t="n">
        <f aca="false">$B15/AV$1</f>
        <v>0.00146153846153846</v>
      </c>
      <c r="AW15" s="0" t="n">
        <f aca="false">$B15/AW$1</f>
        <v>0.00143010752688172</v>
      </c>
      <c r="AX15" s="0" t="n">
        <f aca="false">$B15/AX$1</f>
        <v>0.0014</v>
      </c>
      <c r="AY15" s="0" t="n">
        <f aca="false">$B15/AY$1</f>
        <v>0.00137113402061856</v>
      </c>
      <c r="AZ15" s="0" t="n">
        <f aca="false">$B15/AZ$1</f>
        <v>0.00134343434343434</v>
      </c>
      <c r="BA15" s="0" t="n">
        <f aca="false">$B15/BA$1</f>
        <v>0.00131683168316832</v>
      </c>
      <c r="BB15" s="0" t="n">
        <f aca="false">$B15/BB$1</f>
        <v>0.00129126213592233</v>
      </c>
      <c r="BC15" s="0" t="n">
        <f aca="false">$B15/BC$1</f>
        <v>0.00126666666666667</v>
      </c>
      <c r="BD15" s="0" t="n">
        <f aca="false">$B15/BD$1</f>
        <v>0.00124299065420561</v>
      </c>
      <c r="BE15" s="0" t="n">
        <f aca="false">$B15/BE$1</f>
        <v>0.00122018348623853</v>
      </c>
      <c r="BF15" s="0" t="n">
        <f aca="false">$B15/BF$1</f>
        <v>0.0011981981981982</v>
      </c>
      <c r="BG15" s="0" t="n">
        <f aca="false">$B15/BG$1</f>
        <v>0.00117699115044248</v>
      </c>
      <c r="BH15" s="0" t="n">
        <f aca="false">$B15/BH$1</f>
        <v>0.00115652173913043</v>
      </c>
      <c r="BI15" s="0" t="n">
        <f aca="false">$B15/BI$1</f>
        <v>0.00113675213675214</v>
      </c>
      <c r="BJ15" s="0" t="n">
        <f aca="false">$B15/BJ$1</f>
        <v>0.00111764705882353</v>
      </c>
      <c r="BL15" s="0" t="n">
        <f aca="false">IF($B$12=1,COUNTIF(C15:BJ15,"&gt;="&amp;$C$12),0)</f>
        <v>17</v>
      </c>
      <c r="BM15" s="0" t="n">
        <f aca="false">IF($B$12=1,IF(OR(BS15&gt;=Settings!$B$5,Settings!$C$16&gt;0),MAX(BL15,Settings!$C$16),0),0)</f>
        <v>17</v>
      </c>
      <c r="BN15" s="0" t="n">
        <f aca="false">IF($B$12=1,IF(OR(BS15&gt;=Settings!$B$5,Settings!$C$16&gt;0),MAX(0,(2*MAX(BL15,Settings!$C$16)+1)*$C$12-BS15),MAX(0,Settings!$B$5-BS15)),"")</f>
        <v>0.00248387096774194</v>
      </c>
      <c r="BO15" s="0" t="n">
        <f aca="false">IF($B$12=1,IF(OR(BS15&gt;=Settings!$B$5,Settings!$C$16&gt;0),IF(BL15&lt;=Settings!$C$16,"Protected by electorates",IF(Settings!$C$16=0,MIN(BS15-(2*BL15-1)*$D$12,BS15-Settings!$B$5),BS15-(2*BL15-1)*$D$12)),""),"")</f>
        <v>0.00552054794520551</v>
      </c>
      <c r="BP15" s="0" t="n">
        <f aca="false">IF($B$12=1,IF(OR(BS15&gt;=Settings!$B$5,Settings!$C$16&gt;0),MAX(0,MIN(1,(BS15/$C$12-(2*MAX(BL15,Settings!$C$16)-1))/2)),MIN(1,BS15/Settings!$B$5)),"")</f>
        <v>0.679166666666667</v>
      </c>
      <c r="BQ15" s="0" t="n">
        <f aca="false">IF(AND($B$12=1,COUNTIF(C15:BJ15,$C$12)&gt;0),1,0)</f>
        <v>0</v>
      </c>
      <c r="BR15" s="0" t="n">
        <f aca="false">IF(AND($B$12=1,COUNTIF(C15:BJ15,$D$12)&gt;0),1,0)</f>
        <v>0</v>
      </c>
      <c r="BS15" s="0" t="n">
        <f aca="false">N(IF(Polls!J7="",Polls!J37,Polls!J7))</f>
        <v>0.133</v>
      </c>
      <c r="BT15" s="0" t="str">
        <f aca="false">IF(OR(BS15&gt;=Settings!$B$5,Settings!$C$16&gt;0),"Next seat","Threshold")</f>
        <v>Next seat</v>
      </c>
    </row>
    <row r="16" customFormat="false" ht="15" hidden="false" customHeight="false" outlineLevel="0" collapsed="false">
      <c r="A16" s="0" t="s">
        <v>46</v>
      </c>
      <c r="B16" s="0" t="n">
        <f aca="false">IF(OR(BS16&gt;=Settings!$B$5,Settings!$C$17&gt;0),BS16,0)</f>
        <v>0.092</v>
      </c>
      <c r="C16" s="0" t="n">
        <f aca="false">$B16/C$1</f>
        <v>0.092</v>
      </c>
      <c r="D16" s="0" t="n">
        <f aca="false">$B16/D$1</f>
        <v>0.0306666666666667</v>
      </c>
      <c r="E16" s="0" t="n">
        <f aca="false">$B16/E$1</f>
        <v>0.0184</v>
      </c>
      <c r="F16" s="0" t="n">
        <f aca="false">$B16/F$1</f>
        <v>0.0131428571428571</v>
      </c>
      <c r="G16" s="0" t="n">
        <f aca="false">$B16/G$1</f>
        <v>0.0102222222222222</v>
      </c>
      <c r="H16" s="0" t="n">
        <f aca="false">$B16/H$1</f>
        <v>0.00836363636363636</v>
      </c>
      <c r="I16" s="0" t="n">
        <f aca="false">$B16/I$1</f>
        <v>0.00707692307692308</v>
      </c>
      <c r="J16" s="0" t="n">
        <f aca="false">$B16/J$1</f>
        <v>0.00613333333333333</v>
      </c>
      <c r="K16" s="0" t="n">
        <f aca="false">$B16/K$1</f>
        <v>0.00541176470588235</v>
      </c>
      <c r="L16" s="0" t="n">
        <f aca="false">$B16/L$1</f>
        <v>0.0048421052631579</v>
      </c>
      <c r="M16" s="0" t="n">
        <f aca="false">$B16/M$1</f>
        <v>0.00438095238095238</v>
      </c>
      <c r="N16" s="0" t="n">
        <f aca="false">$B16/N$1</f>
        <v>0.004</v>
      </c>
      <c r="O16" s="0" t="n">
        <f aca="false">$B16/O$1</f>
        <v>0.00368</v>
      </c>
      <c r="P16" s="0" t="n">
        <f aca="false">$B16/P$1</f>
        <v>0.00340740740740741</v>
      </c>
      <c r="Q16" s="0" t="n">
        <f aca="false">$B16/Q$1</f>
        <v>0.00317241379310345</v>
      </c>
      <c r="R16" s="0" t="n">
        <f aca="false">$B16/R$1</f>
        <v>0.00296774193548387</v>
      </c>
      <c r="S16" s="0" t="n">
        <f aca="false">$B16/S$1</f>
        <v>0.00278787878787879</v>
      </c>
      <c r="T16" s="0" t="n">
        <f aca="false">$B16/T$1</f>
        <v>0.00262857142857143</v>
      </c>
      <c r="U16" s="0" t="n">
        <f aca="false">$B16/U$1</f>
        <v>0.00248648648648649</v>
      </c>
      <c r="V16" s="0" t="n">
        <f aca="false">$B16/V$1</f>
        <v>0.00235897435897436</v>
      </c>
      <c r="W16" s="0" t="n">
        <f aca="false">$B16/W$1</f>
        <v>0.00224390243902439</v>
      </c>
      <c r="X16" s="0" t="n">
        <f aca="false">$B16/X$1</f>
        <v>0.00213953488372093</v>
      </c>
      <c r="Y16" s="0" t="n">
        <f aca="false">$B16/Y$1</f>
        <v>0.00204444444444444</v>
      </c>
      <c r="Z16" s="0" t="n">
        <f aca="false">$B16/Z$1</f>
        <v>0.00195744680851064</v>
      </c>
      <c r="AA16" s="0" t="n">
        <f aca="false">$B16/AA$1</f>
        <v>0.00187755102040816</v>
      </c>
      <c r="AB16" s="0" t="n">
        <f aca="false">$B16/AB$1</f>
        <v>0.00180392156862745</v>
      </c>
      <c r="AC16" s="0" t="n">
        <f aca="false">$B16/AC$1</f>
        <v>0.00173584905660377</v>
      </c>
      <c r="AD16" s="0" t="n">
        <f aca="false">$B16/AD$1</f>
        <v>0.00167272727272727</v>
      </c>
      <c r="AE16" s="0" t="n">
        <f aca="false">$B16/AE$1</f>
        <v>0.0016140350877193</v>
      </c>
      <c r="AF16" s="0" t="n">
        <f aca="false">$B16/AF$1</f>
        <v>0.00155932203389831</v>
      </c>
      <c r="AG16" s="0" t="n">
        <f aca="false">$B16/AG$1</f>
        <v>0.00150819672131148</v>
      </c>
      <c r="AH16" s="0" t="n">
        <f aca="false">$B16/AH$1</f>
        <v>0.00146031746031746</v>
      </c>
      <c r="AI16" s="0" t="n">
        <f aca="false">$B16/AI$1</f>
        <v>0.00141538461538462</v>
      </c>
      <c r="AJ16" s="0" t="n">
        <f aca="false">$B16/AJ$1</f>
        <v>0.00137313432835821</v>
      </c>
      <c r="AK16" s="0" t="n">
        <f aca="false">$B16/AK$1</f>
        <v>0.00133333333333333</v>
      </c>
      <c r="AL16" s="0" t="n">
        <f aca="false">$B16/AL$1</f>
        <v>0.00129577464788732</v>
      </c>
      <c r="AM16" s="0" t="n">
        <f aca="false">$B16/AM$1</f>
        <v>0.00126027397260274</v>
      </c>
      <c r="AN16" s="0" t="n">
        <f aca="false">$B16/AN$1</f>
        <v>0.00122666666666667</v>
      </c>
      <c r="AO16" s="0" t="n">
        <f aca="false">$B16/AO$1</f>
        <v>0.00119480519480519</v>
      </c>
      <c r="AP16" s="0" t="n">
        <f aca="false">$B16/AP$1</f>
        <v>0.00116455696202532</v>
      </c>
      <c r="AQ16" s="0" t="n">
        <f aca="false">$B16/AQ$1</f>
        <v>0.0011358024691358</v>
      </c>
      <c r="AR16" s="0" t="n">
        <f aca="false">$B16/AR$1</f>
        <v>0.00110843373493976</v>
      </c>
      <c r="AS16" s="0" t="n">
        <f aca="false">$B16/AS$1</f>
        <v>0.00108235294117647</v>
      </c>
      <c r="AT16" s="0" t="n">
        <f aca="false">$B16/AT$1</f>
        <v>0.00105747126436782</v>
      </c>
      <c r="AU16" s="0" t="n">
        <f aca="false">$B16/AU$1</f>
        <v>0.00103370786516854</v>
      </c>
      <c r="AV16" s="0" t="n">
        <f aca="false">$B16/AV$1</f>
        <v>0.00101098901098901</v>
      </c>
      <c r="AW16" s="0" t="n">
        <f aca="false">$B16/AW$1</f>
        <v>0.000989247311827957</v>
      </c>
      <c r="AX16" s="0" t="n">
        <f aca="false">$B16/AX$1</f>
        <v>0.000968421052631579</v>
      </c>
      <c r="AY16" s="0" t="n">
        <f aca="false">$B16/AY$1</f>
        <v>0.000948453608247423</v>
      </c>
      <c r="AZ16" s="0" t="n">
        <f aca="false">$B16/AZ$1</f>
        <v>0.000929292929292929</v>
      </c>
      <c r="BA16" s="0" t="n">
        <f aca="false">$B16/BA$1</f>
        <v>0.000910891089108911</v>
      </c>
      <c r="BB16" s="0" t="n">
        <f aca="false">$B16/BB$1</f>
        <v>0.000893203883495146</v>
      </c>
      <c r="BC16" s="0" t="n">
        <f aca="false">$B16/BC$1</f>
        <v>0.000876190476190476</v>
      </c>
      <c r="BD16" s="0" t="n">
        <f aca="false">$B16/BD$1</f>
        <v>0.00085981308411215</v>
      </c>
      <c r="BE16" s="0" t="n">
        <f aca="false">$B16/BE$1</f>
        <v>0.000844036697247707</v>
      </c>
      <c r="BF16" s="0" t="n">
        <f aca="false">$B16/BF$1</f>
        <v>0.000828828828828829</v>
      </c>
      <c r="BG16" s="0" t="n">
        <f aca="false">$B16/BG$1</f>
        <v>0.000814159292035398</v>
      </c>
      <c r="BH16" s="0" t="n">
        <f aca="false">$B16/BH$1</f>
        <v>0.0008</v>
      </c>
      <c r="BI16" s="0" t="n">
        <f aca="false">$B16/BI$1</f>
        <v>0.000786324786324786</v>
      </c>
      <c r="BJ16" s="0" t="n">
        <f aca="false">$B16/BJ$1</f>
        <v>0.000773109243697479</v>
      </c>
      <c r="BL16" s="0" t="n">
        <f aca="false">IF($B$12=1,COUNTIF(C16:BJ16,"&gt;="&amp;$C$12),0)</f>
        <v>12</v>
      </c>
      <c r="BM16" s="0" t="n">
        <f aca="false">IF($B$12=1,IF(OR(BS16&gt;=Settings!$B$5,Settings!$C$17&gt;0),MAX(BL16,Settings!$C$17),0),0)</f>
        <v>12</v>
      </c>
      <c r="BN16" s="0" t="n">
        <f aca="false">IF($B$12=1,IF(OR(BS16&gt;=Settings!$B$5,Settings!$C$17&gt;0),MAX(0,(2*MAX(BL16,Settings!$C$17)+1)*$C$12-BS16),MAX(0,Settings!$B$5-BS16)),"")</f>
        <v>0.0047741935483871</v>
      </c>
      <c r="BO16" s="0" t="n">
        <f aca="false">IF($B$12=1,IF(OR(BS16&gt;=Settings!$B$5,Settings!$C$17&gt;0),IF(BL16&lt;=Settings!$C$17,"Protected by electorates",IF(Settings!$C$17=0,MIN(BS16-(2*BL16-1)*$D$12,BS16-Settings!$B$5),BS16-(2*BL16-1)*$D$12)),""),"")</f>
        <v>0.00315068493150686</v>
      </c>
      <c r="BP16" s="0" t="n">
        <f aca="false">IF($B$12=1,IF(OR(BS16&gt;=Settings!$B$5,Settings!$C$17&gt;0),MAX(0,MIN(1,(BS16/$C$12-(2*MAX(BL16,Settings!$C$17)-1))/2)),MIN(1,BS16/Settings!$B$5)),"")</f>
        <v>0.383333333333333</v>
      </c>
      <c r="BQ16" s="0" t="n">
        <f aca="false">IF(AND($B$12=1,COUNTIF(C16:BJ16,$C$12)&gt;0),1,0)</f>
        <v>0</v>
      </c>
      <c r="BR16" s="0" t="n">
        <f aca="false">IF(AND($B$12=1,COUNTIF(C16:BJ16,$D$12)&gt;0),1,0)</f>
        <v>0</v>
      </c>
      <c r="BS16" s="0" t="n">
        <f aca="false">N(IF(Polls!K7="",Polls!K37,Polls!K7))</f>
        <v>0.092</v>
      </c>
      <c r="BT16" s="0" t="str">
        <f aca="false">IF(OR(BS16&gt;=Settings!$B$5,Settings!$C$17&gt;0),"Next seat","Threshold")</f>
        <v>Next seat</v>
      </c>
    </row>
    <row r="17" customFormat="false" ht="15" hidden="false" customHeight="false" outlineLevel="0" collapsed="false">
      <c r="A17" s="0" t="s">
        <v>48</v>
      </c>
      <c r="B17" s="0" t="n">
        <f aca="false">IF(OR(BS17&gt;=Settings!$B$5,Settings!$C$18&gt;0),BS17,0)</f>
        <v>0.12</v>
      </c>
      <c r="C17" s="0" t="n">
        <f aca="false">$B17/C$1</f>
        <v>0.12</v>
      </c>
      <c r="D17" s="0" t="n">
        <f aca="false">$B17/D$1</f>
        <v>0.04</v>
      </c>
      <c r="E17" s="0" t="n">
        <f aca="false">$B17/E$1</f>
        <v>0.024</v>
      </c>
      <c r="F17" s="0" t="n">
        <f aca="false">$B17/F$1</f>
        <v>0.0171428571428571</v>
      </c>
      <c r="G17" s="0" t="n">
        <f aca="false">$B17/G$1</f>
        <v>0.0133333333333333</v>
      </c>
      <c r="H17" s="0" t="n">
        <f aca="false">$B17/H$1</f>
        <v>0.0109090909090909</v>
      </c>
      <c r="I17" s="0" t="n">
        <f aca="false">$B17/I$1</f>
        <v>0.00923076923076923</v>
      </c>
      <c r="J17" s="0" t="n">
        <f aca="false">$B17/J$1</f>
        <v>0.008</v>
      </c>
      <c r="K17" s="0" t="n">
        <f aca="false">$B17/K$1</f>
        <v>0.00705882352941176</v>
      </c>
      <c r="L17" s="0" t="n">
        <f aca="false">$B17/L$1</f>
        <v>0.00631578947368421</v>
      </c>
      <c r="M17" s="0" t="n">
        <f aca="false">$B17/M$1</f>
        <v>0.00571428571428571</v>
      </c>
      <c r="N17" s="0" t="n">
        <f aca="false">$B17/N$1</f>
        <v>0.00521739130434783</v>
      </c>
      <c r="O17" s="0" t="n">
        <f aca="false">$B17/O$1</f>
        <v>0.0048</v>
      </c>
      <c r="P17" s="0" t="n">
        <f aca="false">$B17/P$1</f>
        <v>0.00444444444444444</v>
      </c>
      <c r="Q17" s="0" t="n">
        <f aca="false">$B17/Q$1</f>
        <v>0.00413793103448276</v>
      </c>
      <c r="R17" s="0" t="n">
        <f aca="false">$B17/R$1</f>
        <v>0.00387096774193548</v>
      </c>
      <c r="S17" s="0" t="n">
        <f aca="false">$B17/S$1</f>
        <v>0.00363636363636364</v>
      </c>
      <c r="T17" s="0" t="n">
        <f aca="false">$B17/T$1</f>
        <v>0.00342857142857143</v>
      </c>
      <c r="U17" s="0" t="n">
        <f aca="false">$B17/U$1</f>
        <v>0.00324324324324324</v>
      </c>
      <c r="V17" s="0" t="n">
        <f aca="false">$B17/V$1</f>
        <v>0.00307692307692308</v>
      </c>
      <c r="W17" s="0" t="n">
        <f aca="false">$B17/W$1</f>
        <v>0.00292682926829268</v>
      </c>
      <c r="X17" s="0" t="n">
        <f aca="false">$B17/X$1</f>
        <v>0.0027906976744186</v>
      </c>
      <c r="Y17" s="0" t="n">
        <f aca="false">$B17/Y$1</f>
        <v>0.00266666666666667</v>
      </c>
      <c r="Z17" s="0" t="n">
        <f aca="false">$B17/Z$1</f>
        <v>0.0025531914893617</v>
      </c>
      <c r="AA17" s="0" t="n">
        <f aca="false">$B17/AA$1</f>
        <v>0.00244897959183673</v>
      </c>
      <c r="AB17" s="0" t="n">
        <f aca="false">$B17/AB$1</f>
        <v>0.00235294117647059</v>
      </c>
      <c r="AC17" s="0" t="n">
        <f aca="false">$B17/AC$1</f>
        <v>0.00226415094339623</v>
      </c>
      <c r="AD17" s="0" t="n">
        <f aca="false">$B17/AD$1</f>
        <v>0.00218181818181818</v>
      </c>
      <c r="AE17" s="0" t="n">
        <f aca="false">$B17/AE$1</f>
        <v>0.00210526315789474</v>
      </c>
      <c r="AF17" s="0" t="n">
        <f aca="false">$B17/AF$1</f>
        <v>0.00203389830508475</v>
      </c>
      <c r="AG17" s="0" t="n">
        <f aca="false">$B17/AG$1</f>
        <v>0.0019672131147541</v>
      </c>
      <c r="AH17" s="0" t="n">
        <f aca="false">$B17/AH$1</f>
        <v>0.0019047619047619</v>
      </c>
      <c r="AI17" s="0" t="n">
        <f aca="false">$B17/AI$1</f>
        <v>0.00184615384615385</v>
      </c>
      <c r="AJ17" s="0" t="n">
        <f aca="false">$B17/AJ$1</f>
        <v>0.0017910447761194</v>
      </c>
      <c r="AK17" s="0" t="n">
        <f aca="false">$B17/AK$1</f>
        <v>0.00173913043478261</v>
      </c>
      <c r="AL17" s="0" t="n">
        <f aca="false">$B17/AL$1</f>
        <v>0.00169014084507042</v>
      </c>
      <c r="AM17" s="0" t="n">
        <f aca="false">$B17/AM$1</f>
        <v>0.00164383561643836</v>
      </c>
      <c r="AN17" s="0" t="n">
        <f aca="false">$B17/AN$1</f>
        <v>0.0016</v>
      </c>
      <c r="AO17" s="0" t="n">
        <f aca="false">$B17/AO$1</f>
        <v>0.00155844155844156</v>
      </c>
      <c r="AP17" s="0" t="n">
        <f aca="false">$B17/AP$1</f>
        <v>0.00151898734177215</v>
      </c>
      <c r="AQ17" s="0" t="n">
        <f aca="false">$B17/AQ$1</f>
        <v>0.00148148148148148</v>
      </c>
      <c r="AR17" s="0" t="n">
        <f aca="false">$B17/AR$1</f>
        <v>0.00144578313253012</v>
      </c>
      <c r="AS17" s="0" t="n">
        <f aca="false">$B17/AS$1</f>
        <v>0.00141176470588235</v>
      </c>
      <c r="AT17" s="0" t="n">
        <f aca="false">$B17/AT$1</f>
        <v>0.00137931034482759</v>
      </c>
      <c r="AU17" s="0" t="n">
        <f aca="false">$B17/AU$1</f>
        <v>0.00134831460674157</v>
      </c>
      <c r="AV17" s="0" t="n">
        <f aca="false">$B17/AV$1</f>
        <v>0.00131868131868132</v>
      </c>
      <c r="AW17" s="0" t="n">
        <f aca="false">$B17/AW$1</f>
        <v>0.00129032258064516</v>
      </c>
      <c r="AX17" s="0" t="n">
        <f aca="false">$B17/AX$1</f>
        <v>0.00126315789473684</v>
      </c>
      <c r="AY17" s="0" t="n">
        <f aca="false">$B17/AY$1</f>
        <v>0.00123711340206186</v>
      </c>
      <c r="AZ17" s="0" t="n">
        <f aca="false">$B17/AZ$1</f>
        <v>0.00121212121212121</v>
      </c>
      <c r="BA17" s="0" t="n">
        <f aca="false">$B17/BA$1</f>
        <v>0.00118811881188119</v>
      </c>
      <c r="BB17" s="0" t="n">
        <f aca="false">$B17/BB$1</f>
        <v>0.00116504854368932</v>
      </c>
      <c r="BC17" s="0" t="n">
        <f aca="false">$B17/BC$1</f>
        <v>0.00114285714285714</v>
      </c>
      <c r="BD17" s="0" t="n">
        <f aca="false">$B17/BD$1</f>
        <v>0.0011214953271028</v>
      </c>
      <c r="BE17" s="0" t="n">
        <f aca="false">$B17/BE$1</f>
        <v>0.00110091743119266</v>
      </c>
      <c r="BF17" s="0" t="n">
        <f aca="false">$B17/BF$1</f>
        <v>0.00108108108108108</v>
      </c>
      <c r="BG17" s="0" t="n">
        <f aca="false">$B17/BG$1</f>
        <v>0.00106194690265487</v>
      </c>
      <c r="BH17" s="0" t="n">
        <f aca="false">$B17/BH$1</f>
        <v>0.00104347826086957</v>
      </c>
      <c r="BI17" s="0" t="n">
        <f aca="false">$B17/BI$1</f>
        <v>0.00102564102564103</v>
      </c>
      <c r="BJ17" s="0" t="n">
        <f aca="false">$B17/BJ$1</f>
        <v>0.00100840336134454</v>
      </c>
      <c r="BL17" s="0" t="n">
        <f aca="false">IF($B$12=1,COUNTIF(C17:BJ17,"&gt;="&amp;$C$12),0)</f>
        <v>16</v>
      </c>
      <c r="BM17" s="0" t="n">
        <f aca="false">IF($B$12=1,IF(OR(BS17&gt;=Settings!$B$5,Settings!$C$18&gt;0),MAX(BL17,Settings!$C$18),0),0)</f>
        <v>16</v>
      </c>
      <c r="BN17" s="0" t="n">
        <f aca="false">IF($B$12=1,IF(OR(BS17&gt;=Settings!$B$5,Settings!$C$18&gt;0),MAX(0,(2*MAX(BL17,Settings!$C$18)+1)*$C$12-BS17),MAX(0,Settings!$B$5-BS17)),"")</f>
        <v>0.00774193548387098</v>
      </c>
      <c r="BO17" s="0" t="n">
        <f aca="false">IF($B$12=1,IF(OR(BS17&gt;=Settings!$B$5,Settings!$C$18&gt;0),IF(BL17&lt;=Settings!$C$18,"Protected by electorates",IF(Settings!$C$18=0,MIN(BS17-(2*BL17-1)*$D$12,BS17-Settings!$B$5),BS17-(2*BL17-1)*$D$12)),""),"")</f>
        <v>0.000246575342465763</v>
      </c>
      <c r="BP17" s="0" t="n">
        <f aca="false">IF($B$12=1,IF(OR(BS17&gt;=Settings!$B$5,Settings!$C$18&gt;0),MAX(0,MIN(1,(BS17/$C$12-(2*MAX(BL17,Settings!$C$18)-1))/2)),MIN(1,BS17/Settings!$B$5)),"")</f>
        <v>0</v>
      </c>
      <c r="BQ17" s="0" t="n">
        <f aca="false">IF(AND($B$12=1,COUNTIF(C17:BJ17,$C$12)&gt;0),1,0)</f>
        <v>1</v>
      </c>
      <c r="BR17" s="0" t="n">
        <f aca="false">IF(AND($B$12=1,COUNTIF(C17:BJ17,$D$12)&gt;0),1,0)</f>
        <v>0</v>
      </c>
      <c r="BS17" s="0" t="n">
        <f aca="false">N(IF(Polls!L7="",Polls!L37,Polls!L7))</f>
        <v>0.12</v>
      </c>
      <c r="BT17" s="0" t="str">
        <f aca="false">IF(OR(BS17&gt;=Settings!$B$5,Settings!$C$18&gt;0),"Next seat","Threshold")</f>
        <v>Next seat</v>
      </c>
    </row>
    <row r="18" customFormat="false" ht="15" hidden="false" customHeight="false" outlineLevel="0" collapsed="false">
      <c r="A18" s="0" t="s">
        <v>50</v>
      </c>
      <c r="B18" s="0" t="n">
        <f aca="false">IF(OR(BS18&gt;=Settings!$B$5,Settings!$C$19&gt;0),BS18,0)</f>
        <v>0.014</v>
      </c>
      <c r="C18" s="0" t="n">
        <f aca="false">$B18/C$1</f>
        <v>0.014</v>
      </c>
      <c r="D18" s="0" t="n">
        <f aca="false">$B18/D$1</f>
        <v>0.00466666666666667</v>
      </c>
      <c r="E18" s="0" t="n">
        <f aca="false">$B18/E$1</f>
        <v>0.0028</v>
      </c>
      <c r="F18" s="0" t="n">
        <f aca="false">$B18/F$1</f>
        <v>0.002</v>
      </c>
      <c r="G18" s="0" t="n">
        <f aca="false">$B18/G$1</f>
        <v>0.00155555555555556</v>
      </c>
      <c r="H18" s="0" t="n">
        <f aca="false">$B18/H$1</f>
        <v>0.00127272727272727</v>
      </c>
      <c r="I18" s="0" t="n">
        <f aca="false">$B18/I$1</f>
        <v>0.00107692307692308</v>
      </c>
      <c r="J18" s="0" t="n">
        <f aca="false">$B18/J$1</f>
        <v>0.000933333333333333</v>
      </c>
      <c r="K18" s="0" t="n">
        <f aca="false">$B18/K$1</f>
        <v>0.000823529411764706</v>
      </c>
      <c r="L18" s="0" t="n">
        <f aca="false">$B18/L$1</f>
        <v>0.000736842105263158</v>
      </c>
      <c r="M18" s="0" t="n">
        <f aca="false">$B18/M$1</f>
        <v>0.000666666666666667</v>
      </c>
      <c r="N18" s="0" t="n">
        <f aca="false">$B18/N$1</f>
        <v>0.000608695652173913</v>
      </c>
      <c r="O18" s="0" t="n">
        <f aca="false">$B18/O$1</f>
        <v>0.00056</v>
      </c>
      <c r="P18" s="0" t="n">
        <f aca="false">$B18/P$1</f>
        <v>0.000518518518518519</v>
      </c>
      <c r="Q18" s="0" t="n">
        <f aca="false">$B18/Q$1</f>
        <v>0.000482758620689655</v>
      </c>
      <c r="R18" s="0" t="n">
        <f aca="false">$B18/R$1</f>
        <v>0.000451612903225807</v>
      </c>
      <c r="S18" s="0" t="n">
        <f aca="false">$B18/S$1</f>
        <v>0.000424242424242424</v>
      </c>
      <c r="T18" s="0" t="n">
        <f aca="false">$B18/T$1</f>
        <v>0.0004</v>
      </c>
      <c r="U18" s="0" t="n">
        <f aca="false">$B18/U$1</f>
        <v>0.000378378378378378</v>
      </c>
      <c r="V18" s="0" t="n">
        <f aca="false">$B18/V$1</f>
        <v>0.000358974358974359</v>
      </c>
      <c r="W18" s="0" t="n">
        <f aca="false">$B18/W$1</f>
        <v>0.000341463414634146</v>
      </c>
      <c r="X18" s="0" t="n">
        <f aca="false">$B18/X$1</f>
        <v>0.000325581395348837</v>
      </c>
      <c r="Y18" s="0" t="n">
        <f aca="false">$B18/Y$1</f>
        <v>0.000311111111111111</v>
      </c>
      <c r="Z18" s="0" t="n">
        <f aca="false">$B18/Z$1</f>
        <v>0.000297872340425532</v>
      </c>
      <c r="AA18" s="0" t="n">
        <f aca="false">$B18/AA$1</f>
        <v>0.000285714285714286</v>
      </c>
      <c r="AB18" s="0" t="n">
        <f aca="false">$B18/AB$1</f>
        <v>0.000274509803921569</v>
      </c>
      <c r="AC18" s="0" t="n">
        <f aca="false">$B18/AC$1</f>
        <v>0.000264150943396226</v>
      </c>
      <c r="AD18" s="0" t="n">
        <f aca="false">$B18/AD$1</f>
        <v>0.000254545454545455</v>
      </c>
      <c r="AE18" s="0" t="n">
        <f aca="false">$B18/AE$1</f>
        <v>0.000245614035087719</v>
      </c>
      <c r="AF18" s="0" t="n">
        <f aca="false">$B18/AF$1</f>
        <v>0.00023728813559322</v>
      </c>
      <c r="AG18" s="0" t="n">
        <f aca="false">$B18/AG$1</f>
        <v>0.000229508196721311</v>
      </c>
      <c r="AH18" s="0" t="n">
        <f aca="false">$B18/AH$1</f>
        <v>0.000222222222222222</v>
      </c>
      <c r="AI18" s="0" t="n">
        <f aca="false">$B18/AI$1</f>
        <v>0.000215384615384615</v>
      </c>
      <c r="AJ18" s="0" t="n">
        <f aca="false">$B18/AJ$1</f>
        <v>0.000208955223880597</v>
      </c>
      <c r="AK18" s="0" t="n">
        <f aca="false">$B18/AK$1</f>
        <v>0.000202898550724638</v>
      </c>
      <c r="AL18" s="0" t="n">
        <f aca="false">$B18/AL$1</f>
        <v>0.000197183098591549</v>
      </c>
      <c r="AM18" s="0" t="n">
        <f aca="false">$B18/AM$1</f>
        <v>0.000191780821917808</v>
      </c>
      <c r="AN18" s="0" t="n">
        <f aca="false">$B18/AN$1</f>
        <v>0.000186666666666667</v>
      </c>
      <c r="AO18" s="0" t="n">
        <f aca="false">$B18/AO$1</f>
        <v>0.000181818181818182</v>
      </c>
      <c r="AP18" s="0" t="n">
        <f aca="false">$B18/AP$1</f>
        <v>0.000177215189873418</v>
      </c>
      <c r="AQ18" s="0" t="n">
        <f aca="false">$B18/AQ$1</f>
        <v>0.00017283950617284</v>
      </c>
      <c r="AR18" s="0" t="n">
        <f aca="false">$B18/AR$1</f>
        <v>0.000168674698795181</v>
      </c>
      <c r="AS18" s="0" t="n">
        <f aca="false">$B18/AS$1</f>
        <v>0.000164705882352941</v>
      </c>
      <c r="AT18" s="0" t="n">
        <f aca="false">$B18/AT$1</f>
        <v>0.000160919540229885</v>
      </c>
      <c r="AU18" s="0" t="n">
        <f aca="false">$B18/AU$1</f>
        <v>0.000157303370786517</v>
      </c>
      <c r="AV18" s="0" t="n">
        <f aca="false">$B18/AV$1</f>
        <v>0.000153846153846154</v>
      </c>
      <c r="AW18" s="0" t="n">
        <f aca="false">$B18/AW$1</f>
        <v>0.000150537634408602</v>
      </c>
      <c r="AX18" s="0" t="n">
        <f aca="false">$B18/AX$1</f>
        <v>0.000147368421052632</v>
      </c>
      <c r="AY18" s="0" t="n">
        <f aca="false">$B18/AY$1</f>
        <v>0.000144329896907217</v>
      </c>
      <c r="AZ18" s="0" t="n">
        <f aca="false">$B18/AZ$1</f>
        <v>0.000141414141414141</v>
      </c>
      <c r="BA18" s="0" t="n">
        <f aca="false">$B18/BA$1</f>
        <v>0.000138613861386139</v>
      </c>
      <c r="BB18" s="0" t="n">
        <f aca="false">$B18/BB$1</f>
        <v>0.000135922330097087</v>
      </c>
      <c r="BC18" s="0" t="n">
        <f aca="false">$B18/BC$1</f>
        <v>0.000133333333333333</v>
      </c>
      <c r="BD18" s="0" t="n">
        <f aca="false">$B18/BD$1</f>
        <v>0.000130841121495327</v>
      </c>
      <c r="BE18" s="0" t="n">
        <f aca="false">$B18/BE$1</f>
        <v>0.000128440366972477</v>
      </c>
      <c r="BF18" s="0" t="n">
        <f aca="false">$B18/BF$1</f>
        <v>0.000126126126126126</v>
      </c>
      <c r="BG18" s="0" t="n">
        <f aca="false">$B18/BG$1</f>
        <v>0.000123893805309735</v>
      </c>
      <c r="BH18" s="0" t="n">
        <f aca="false">$B18/BH$1</f>
        <v>0.000121739130434783</v>
      </c>
      <c r="BI18" s="0" t="n">
        <f aca="false">$B18/BI$1</f>
        <v>0.00011965811965812</v>
      </c>
      <c r="BJ18" s="0" t="n">
        <f aca="false">$B18/BJ$1</f>
        <v>0.000117647058823529</v>
      </c>
      <c r="BL18" s="0" t="n">
        <f aca="false">IF($B$12=1,COUNTIF(C18:BJ18,"&gt;="&amp;$C$12),0)</f>
        <v>2</v>
      </c>
      <c r="BM18" s="0" t="n">
        <f aca="false">IF($B$12=1,IF(OR(BS18&gt;=Settings!$B$5,Settings!$C$19&gt;0),MAX(BL18,Settings!$C$19),0),0)</f>
        <v>4</v>
      </c>
      <c r="BN18" s="0" t="n">
        <f aca="false">IF($B$12=1,IF(OR(BS18&gt;=Settings!$B$5,Settings!$C$19&gt;0),MAX(0,(2*MAX(BL18,Settings!$C$19)+1)*$C$12-BS18),MAX(0,Settings!$B$5-BS18)),"")</f>
        <v>0.0208387096774194</v>
      </c>
      <c r="BO18" s="0" t="str">
        <f aca="false">IF($B$12=1,IF(OR(BS18&gt;=Settings!$B$5,Settings!$C$19&gt;0),IF(BL18&lt;=Settings!$C$19,"Protected by electorates",IF(Settings!$C$19=0,MIN(BS18-(2*BL18-1)*$D$12,BS18-Settings!$B$5),BS18-(2*BL18-1)*$D$12)),""),"")</f>
        <v>Protected by electorates</v>
      </c>
      <c r="BP18" s="0" t="n">
        <f aca="false">IF($B$12=1,IF(OR(BS18&gt;=Settings!$B$5,Settings!$C$19&gt;0),MAX(0,MIN(1,(BS18/$C$12-(2*MAX(BL18,Settings!$C$19)-1))/2)),MIN(1,BS18/Settings!$B$5)),"")</f>
        <v>0</v>
      </c>
      <c r="BQ18" s="0" t="n">
        <f aca="false">IF(AND($B$12=1,COUNTIF(C18:BJ18,$C$12)&gt;0),1,0)</f>
        <v>0</v>
      </c>
      <c r="BR18" s="0" t="n">
        <f aca="false">IF(AND($B$12=1,COUNTIF(C18:BJ18,$D$12)&gt;0),1,0)</f>
        <v>0</v>
      </c>
      <c r="BS18" s="0" t="n">
        <f aca="false">N(IF(Polls!M7="",Polls!M37,Polls!M7))</f>
        <v>0.014</v>
      </c>
      <c r="BT18" s="0" t="str">
        <f aca="false">IF(OR(BS18&gt;=Settings!$B$5,Settings!$C$19&gt;0),"Next seat","Threshold")</f>
        <v>Next seat</v>
      </c>
    </row>
    <row r="19" customFormat="false" ht="15" hidden="false" customHeight="false" outlineLevel="0" collapsed="false">
      <c r="A19" s="0" t="s">
        <v>52</v>
      </c>
      <c r="B19" s="0" t="n">
        <f aca="false">IF(OR(BS19&gt;=Settings!$B$5,Settings!$C$20&gt;0),BS19,0)</f>
        <v>0</v>
      </c>
      <c r="C19" s="0" t="n">
        <f aca="false">$B19/C$1</f>
        <v>0</v>
      </c>
      <c r="D19" s="0" t="n">
        <f aca="false">$B19/D$1</f>
        <v>0</v>
      </c>
      <c r="E19" s="0" t="n">
        <f aca="false">$B19/E$1</f>
        <v>0</v>
      </c>
      <c r="F19" s="0" t="n">
        <f aca="false">$B19/F$1</f>
        <v>0</v>
      </c>
      <c r="G19" s="0" t="n">
        <f aca="false">$B19/G$1</f>
        <v>0</v>
      </c>
      <c r="H19" s="0" t="n">
        <f aca="false">$B19/H$1</f>
        <v>0</v>
      </c>
      <c r="I19" s="0" t="n">
        <f aca="false">$B19/I$1</f>
        <v>0</v>
      </c>
      <c r="J19" s="0" t="n">
        <f aca="false">$B19/J$1</f>
        <v>0</v>
      </c>
      <c r="K19" s="0" t="n">
        <f aca="false">$B19/K$1</f>
        <v>0</v>
      </c>
      <c r="L19" s="0" t="n">
        <f aca="false">$B19/L$1</f>
        <v>0</v>
      </c>
      <c r="M19" s="0" t="n">
        <f aca="false">$B19/M$1</f>
        <v>0</v>
      </c>
      <c r="N19" s="0" t="n">
        <f aca="false">$B19/N$1</f>
        <v>0</v>
      </c>
      <c r="O19" s="0" t="n">
        <f aca="false">$B19/O$1</f>
        <v>0</v>
      </c>
      <c r="P19" s="0" t="n">
        <f aca="false">$B19/P$1</f>
        <v>0</v>
      </c>
      <c r="Q19" s="0" t="n">
        <f aca="false">$B19/Q$1</f>
        <v>0</v>
      </c>
      <c r="R19" s="0" t="n">
        <f aca="false">$B19/R$1</f>
        <v>0</v>
      </c>
      <c r="S19" s="0" t="n">
        <f aca="false">$B19/S$1</f>
        <v>0</v>
      </c>
      <c r="T19" s="0" t="n">
        <f aca="false">$B19/T$1</f>
        <v>0</v>
      </c>
      <c r="U19" s="0" t="n">
        <f aca="false">$B19/U$1</f>
        <v>0</v>
      </c>
      <c r="V19" s="0" t="n">
        <f aca="false">$B19/V$1</f>
        <v>0</v>
      </c>
      <c r="W19" s="0" t="n">
        <f aca="false">$B19/W$1</f>
        <v>0</v>
      </c>
      <c r="X19" s="0" t="n">
        <f aca="false">$B19/X$1</f>
        <v>0</v>
      </c>
      <c r="Y19" s="0" t="n">
        <f aca="false">$B19/Y$1</f>
        <v>0</v>
      </c>
      <c r="Z19" s="0" t="n">
        <f aca="false">$B19/Z$1</f>
        <v>0</v>
      </c>
      <c r="AA19" s="0" t="n">
        <f aca="false">$B19/AA$1</f>
        <v>0</v>
      </c>
      <c r="AB19" s="0" t="n">
        <f aca="false">$B19/AB$1</f>
        <v>0</v>
      </c>
      <c r="AC19" s="0" t="n">
        <f aca="false">$B19/AC$1</f>
        <v>0</v>
      </c>
      <c r="AD19" s="0" t="n">
        <f aca="false">$B19/AD$1</f>
        <v>0</v>
      </c>
      <c r="AE19" s="0" t="n">
        <f aca="false">$B19/AE$1</f>
        <v>0</v>
      </c>
      <c r="AF19" s="0" t="n">
        <f aca="false">$B19/AF$1</f>
        <v>0</v>
      </c>
      <c r="AG19" s="0" t="n">
        <f aca="false">$B19/AG$1</f>
        <v>0</v>
      </c>
      <c r="AH19" s="0" t="n">
        <f aca="false">$B19/AH$1</f>
        <v>0</v>
      </c>
      <c r="AI19" s="0" t="n">
        <f aca="false">$B19/AI$1</f>
        <v>0</v>
      </c>
      <c r="AJ19" s="0" t="n">
        <f aca="false">$B19/AJ$1</f>
        <v>0</v>
      </c>
      <c r="AK19" s="0" t="n">
        <f aca="false">$B19/AK$1</f>
        <v>0</v>
      </c>
      <c r="AL19" s="0" t="n">
        <f aca="false">$B19/AL$1</f>
        <v>0</v>
      </c>
      <c r="AM19" s="0" t="n">
        <f aca="false">$B19/AM$1</f>
        <v>0</v>
      </c>
      <c r="AN19" s="0" t="n">
        <f aca="false">$B19/AN$1</f>
        <v>0</v>
      </c>
      <c r="AO19" s="0" t="n">
        <f aca="false">$B19/AO$1</f>
        <v>0</v>
      </c>
      <c r="AP19" s="0" t="n">
        <f aca="false">$B19/AP$1</f>
        <v>0</v>
      </c>
      <c r="AQ19" s="0" t="n">
        <f aca="false">$B19/AQ$1</f>
        <v>0</v>
      </c>
      <c r="AR19" s="0" t="n">
        <f aca="false">$B19/AR$1</f>
        <v>0</v>
      </c>
      <c r="AS19" s="0" t="n">
        <f aca="false">$B19/AS$1</f>
        <v>0</v>
      </c>
      <c r="AT19" s="0" t="n">
        <f aca="false">$B19/AT$1</f>
        <v>0</v>
      </c>
      <c r="AU19" s="0" t="n">
        <f aca="false">$B19/AU$1</f>
        <v>0</v>
      </c>
      <c r="AV19" s="0" t="n">
        <f aca="false">$B19/AV$1</f>
        <v>0</v>
      </c>
      <c r="AW19" s="0" t="n">
        <f aca="false">$B19/AW$1</f>
        <v>0</v>
      </c>
      <c r="AX19" s="0" t="n">
        <f aca="false">$B19/AX$1</f>
        <v>0</v>
      </c>
      <c r="AY19" s="0" t="n">
        <f aca="false">$B19/AY$1</f>
        <v>0</v>
      </c>
      <c r="AZ19" s="0" t="n">
        <f aca="false">$B19/AZ$1</f>
        <v>0</v>
      </c>
      <c r="BA19" s="0" t="n">
        <f aca="false">$B19/BA$1</f>
        <v>0</v>
      </c>
      <c r="BB19" s="0" t="n">
        <f aca="false">$B19/BB$1</f>
        <v>0</v>
      </c>
      <c r="BC19" s="0" t="n">
        <f aca="false">$B19/BC$1</f>
        <v>0</v>
      </c>
      <c r="BD19" s="0" t="n">
        <f aca="false">$B19/BD$1</f>
        <v>0</v>
      </c>
      <c r="BE19" s="0" t="n">
        <f aca="false">$B19/BE$1</f>
        <v>0</v>
      </c>
      <c r="BF19" s="0" t="n">
        <f aca="false">$B19/BF$1</f>
        <v>0</v>
      </c>
      <c r="BG19" s="0" t="n">
        <f aca="false">$B19/BG$1</f>
        <v>0</v>
      </c>
      <c r="BH19" s="0" t="n">
        <f aca="false">$B19/BH$1</f>
        <v>0</v>
      </c>
      <c r="BI19" s="0" t="n">
        <f aca="false">$B19/BI$1</f>
        <v>0</v>
      </c>
      <c r="BJ19" s="0" t="n">
        <f aca="false">$B19/BJ$1</f>
        <v>0</v>
      </c>
      <c r="BL19" s="0" t="n">
        <f aca="false">IF($B$12=1,COUNTIF(C19:BJ19,"&gt;="&amp;$C$12),0)</f>
        <v>0</v>
      </c>
      <c r="BM19" s="0" t="n">
        <f aca="false">IF($B$12=1,IF(OR(BS19&gt;=Settings!$B$5,Settings!$C$20&gt;0),MAX(BL19,Settings!$C$20),0),0)</f>
        <v>0</v>
      </c>
      <c r="BN19" s="0" t="n">
        <f aca="false">IF($B$12=1,IF(OR(BS19&gt;=Settings!$B$5,Settings!$C$20&gt;0),MAX(0,(2*MAX(BL19,Settings!$C$20)+1)*$C$12-BS19),MAX(0,Settings!$B$5-BS19)),"")</f>
        <v>0.002</v>
      </c>
      <c r="BO19" s="0" t="str">
        <f aca="false">IF($B$12=1,IF(OR(BS19&gt;=Settings!$B$5,Settings!$C$20&gt;0),IF(BL19&lt;=Settings!$C$20,"Protected by electorates",IF(Settings!$C$20=0,MIN(BS19-(2*BL19-1)*$D$12,BS19-Settings!$B$5),BS19-(2*BL19-1)*$D$12)),""),"")</f>
        <v/>
      </c>
      <c r="BP19" s="0" t="n">
        <f aca="false">IF($B$12=1,IF(OR(BS19&gt;=Settings!$B$5,Settings!$C$20&gt;0),MAX(0,MIN(1,(BS19/$C$12-(2*MAX(BL19,Settings!$C$20)-1))/2)),MIN(1,BS19/Settings!$B$5)),"")</f>
        <v>0.96</v>
      </c>
      <c r="BQ19" s="0" t="n">
        <f aca="false">IF(AND($B$12=1,COUNTIF(C19:BJ19,$C$12)&gt;0),1,0)</f>
        <v>0</v>
      </c>
      <c r="BR19" s="0" t="n">
        <f aca="false">IF(AND($B$12=1,COUNTIF(C19:BJ19,$D$12)&gt;0),1,0)</f>
        <v>0</v>
      </c>
      <c r="BS19" s="0" t="n">
        <f aca="false">N(IF(Polls!N7="",Polls!N37,Polls!N7))</f>
        <v>0.048</v>
      </c>
      <c r="BT19" s="0" t="str">
        <f aca="false">IF(OR(BS19&gt;=Settings!$B$5,Settings!$C$20&gt;0),"Next seat","Threshold")</f>
        <v>Threshold</v>
      </c>
    </row>
    <row r="21" customFormat="false" ht="15" hidden="false" customHeight="false" outlineLevel="0" collapsed="false">
      <c r="A21" s="41" t="str">
        <f aca="false">Polls!A8</f>
        <v>Verian 5 Oct</v>
      </c>
      <c r="B21" s="17" t="n">
        <f aca="false">IF(SUM(BS22:BS28)&gt;0,1,0)</f>
        <v>1</v>
      </c>
      <c r="C21" s="17" t="n">
        <f aca="false">IF(B21=1,LARGE(C22:BJ28,Settings!$B$4),0)</f>
        <v>0.00417910447761194</v>
      </c>
      <c r="D21" s="17" t="n">
        <f aca="false">IF(B21=1,LARGE(C22:BJ28,Settings!$B$4+1),0)</f>
        <v>0.00411764705882353</v>
      </c>
      <c r="E21" s="0" t="str">
        <f aca="false">IF(B21=1,IFERROR(INDEX(A22:A28,MATCH(1,BQ22:BQ28,0)),""),"")</f>
        <v>LAB</v>
      </c>
      <c r="F21" s="0" t="str">
        <f aca="false">IF(B21=1,IFERROR(INDEX(A22:A28,MATCH(1,BR22:BR28,0)),""),"")</f>
        <v>OPP</v>
      </c>
      <c r="G21" s="17" t="n">
        <f aca="false">IF(B21=1,SUM(BM22:BM28)+Settings!$B$10,"")</f>
        <v>123</v>
      </c>
    </row>
    <row r="22" customFormat="false" ht="15" hidden="false" customHeight="false" outlineLevel="0" collapsed="false">
      <c r="A22" s="0" t="s">
        <v>41</v>
      </c>
      <c r="B22" s="0" t="n">
        <f aca="false">IF(OR(BS22&gt;=Settings!$B$5,Settings!$C$14&gt;0),BS22,0)</f>
        <v>0.29</v>
      </c>
      <c r="C22" s="0" t="n">
        <f aca="false">$B22/C$1</f>
        <v>0.29</v>
      </c>
      <c r="D22" s="0" t="n">
        <f aca="false">$B22/D$1</f>
        <v>0.0966666666666667</v>
      </c>
      <c r="E22" s="0" t="n">
        <f aca="false">$B22/E$1</f>
        <v>0.058</v>
      </c>
      <c r="F22" s="0" t="n">
        <f aca="false">$B22/F$1</f>
        <v>0.0414285714285714</v>
      </c>
      <c r="G22" s="0" t="n">
        <f aca="false">$B22/G$1</f>
        <v>0.0322222222222222</v>
      </c>
      <c r="H22" s="0" t="n">
        <f aca="false">$B22/H$1</f>
        <v>0.0263636363636364</v>
      </c>
      <c r="I22" s="0" t="n">
        <f aca="false">$B22/I$1</f>
        <v>0.0223076923076923</v>
      </c>
      <c r="J22" s="0" t="n">
        <f aca="false">$B22/J$1</f>
        <v>0.0193333333333333</v>
      </c>
      <c r="K22" s="0" t="n">
        <f aca="false">$B22/K$1</f>
        <v>0.0170588235294118</v>
      </c>
      <c r="L22" s="0" t="n">
        <f aca="false">$B22/L$1</f>
        <v>0.0152631578947368</v>
      </c>
      <c r="M22" s="0" t="n">
        <f aca="false">$B22/M$1</f>
        <v>0.0138095238095238</v>
      </c>
      <c r="N22" s="0" t="n">
        <f aca="false">$B22/N$1</f>
        <v>0.0126086956521739</v>
      </c>
      <c r="O22" s="0" t="n">
        <f aca="false">$B22/O$1</f>
        <v>0.0116</v>
      </c>
      <c r="P22" s="0" t="n">
        <f aca="false">$B22/P$1</f>
        <v>0.0107407407407407</v>
      </c>
      <c r="Q22" s="0" t="n">
        <f aca="false">$B22/Q$1</f>
        <v>0.01</v>
      </c>
      <c r="R22" s="0" t="n">
        <f aca="false">$B22/R$1</f>
        <v>0.00935483870967742</v>
      </c>
      <c r="S22" s="0" t="n">
        <f aca="false">$B22/S$1</f>
        <v>0.00878787878787879</v>
      </c>
      <c r="T22" s="0" t="n">
        <f aca="false">$B22/T$1</f>
        <v>0.00828571428571429</v>
      </c>
      <c r="U22" s="0" t="n">
        <f aca="false">$B22/U$1</f>
        <v>0.00783783783783784</v>
      </c>
      <c r="V22" s="0" t="n">
        <f aca="false">$B22/V$1</f>
        <v>0.00743589743589744</v>
      </c>
      <c r="W22" s="0" t="n">
        <f aca="false">$B22/W$1</f>
        <v>0.00707317073170732</v>
      </c>
      <c r="X22" s="0" t="n">
        <f aca="false">$B22/X$1</f>
        <v>0.00674418604651163</v>
      </c>
      <c r="Y22" s="0" t="n">
        <f aca="false">$B22/Y$1</f>
        <v>0.00644444444444444</v>
      </c>
      <c r="Z22" s="0" t="n">
        <f aca="false">$B22/Z$1</f>
        <v>0.00617021276595745</v>
      </c>
      <c r="AA22" s="0" t="n">
        <f aca="false">$B22/AA$1</f>
        <v>0.00591836734693878</v>
      </c>
      <c r="AB22" s="0" t="n">
        <f aca="false">$B22/AB$1</f>
        <v>0.00568627450980392</v>
      </c>
      <c r="AC22" s="0" t="n">
        <f aca="false">$B22/AC$1</f>
        <v>0.00547169811320755</v>
      </c>
      <c r="AD22" s="0" t="n">
        <f aca="false">$B22/AD$1</f>
        <v>0.00527272727272727</v>
      </c>
      <c r="AE22" s="0" t="n">
        <f aca="false">$B22/AE$1</f>
        <v>0.00508771929824561</v>
      </c>
      <c r="AF22" s="0" t="n">
        <f aca="false">$B22/AF$1</f>
        <v>0.00491525423728814</v>
      </c>
      <c r="AG22" s="0" t="n">
        <f aca="false">$B22/AG$1</f>
        <v>0.00475409836065574</v>
      </c>
      <c r="AH22" s="0" t="n">
        <f aca="false">$B22/AH$1</f>
        <v>0.0046031746031746</v>
      </c>
      <c r="AI22" s="0" t="n">
        <f aca="false">$B22/AI$1</f>
        <v>0.00446153846153846</v>
      </c>
      <c r="AJ22" s="0" t="n">
        <f aca="false">$B22/AJ$1</f>
        <v>0.00432835820895522</v>
      </c>
      <c r="AK22" s="0" t="n">
        <f aca="false">$B22/AK$1</f>
        <v>0.00420289855072464</v>
      </c>
      <c r="AL22" s="0" t="n">
        <f aca="false">$B22/AL$1</f>
        <v>0.00408450704225352</v>
      </c>
      <c r="AM22" s="0" t="n">
        <f aca="false">$B22/AM$1</f>
        <v>0.00397260273972603</v>
      </c>
      <c r="AN22" s="0" t="n">
        <f aca="false">$B22/AN$1</f>
        <v>0.00386666666666667</v>
      </c>
      <c r="AO22" s="0" t="n">
        <f aca="false">$B22/AO$1</f>
        <v>0.00376623376623377</v>
      </c>
      <c r="AP22" s="0" t="n">
        <f aca="false">$B22/AP$1</f>
        <v>0.00367088607594937</v>
      </c>
      <c r="AQ22" s="0" t="n">
        <f aca="false">$B22/AQ$1</f>
        <v>0.00358024691358025</v>
      </c>
      <c r="AR22" s="0" t="n">
        <f aca="false">$B22/AR$1</f>
        <v>0.00349397590361446</v>
      </c>
      <c r="AS22" s="0" t="n">
        <f aca="false">$B22/AS$1</f>
        <v>0.00341176470588235</v>
      </c>
      <c r="AT22" s="0" t="n">
        <f aca="false">$B22/AT$1</f>
        <v>0.00333333333333333</v>
      </c>
      <c r="AU22" s="0" t="n">
        <f aca="false">$B22/AU$1</f>
        <v>0.00325842696629213</v>
      </c>
      <c r="AV22" s="0" t="n">
        <f aca="false">$B22/AV$1</f>
        <v>0.00318681318681319</v>
      </c>
      <c r="AW22" s="0" t="n">
        <f aca="false">$B22/AW$1</f>
        <v>0.00311827956989247</v>
      </c>
      <c r="AX22" s="0" t="n">
        <f aca="false">$B22/AX$1</f>
        <v>0.00305263157894737</v>
      </c>
      <c r="AY22" s="0" t="n">
        <f aca="false">$B22/AY$1</f>
        <v>0.00298969072164948</v>
      </c>
      <c r="AZ22" s="0" t="n">
        <f aca="false">$B22/AZ$1</f>
        <v>0.00292929292929293</v>
      </c>
      <c r="BA22" s="0" t="n">
        <f aca="false">$B22/BA$1</f>
        <v>0.00287128712871287</v>
      </c>
      <c r="BB22" s="0" t="n">
        <f aca="false">$B22/BB$1</f>
        <v>0.00281553398058252</v>
      </c>
      <c r="BC22" s="0" t="n">
        <f aca="false">$B22/BC$1</f>
        <v>0.00276190476190476</v>
      </c>
      <c r="BD22" s="0" t="n">
        <f aca="false">$B22/BD$1</f>
        <v>0.00271028037383178</v>
      </c>
      <c r="BE22" s="0" t="n">
        <f aca="false">$B22/BE$1</f>
        <v>0.0026605504587156</v>
      </c>
      <c r="BF22" s="0" t="n">
        <f aca="false">$B22/BF$1</f>
        <v>0.00261261261261261</v>
      </c>
      <c r="BG22" s="0" t="n">
        <f aca="false">$B22/BG$1</f>
        <v>0.00256637168141593</v>
      </c>
      <c r="BH22" s="0" t="n">
        <f aca="false">$B22/BH$1</f>
        <v>0.00252173913043478</v>
      </c>
      <c r="BI22" s="0" t="n">
        <f aca="false">$B22/BI$1</f>
        <v>0.00247863247863248</v>
      </c>
      <c r="BJ22" s="0" t="n">
        <f aca="false">$B22/BJ$1</f>
        <v>0.00243697478991597</v>
      </c>
      <c r="BL22" s="0" t="n">
        <f aca="false">IF($B$21=1,COUNTIF(C22:BJ22,"&gt;="&amp;$C$21),0)</f>
        <v>35</v>
      </c>
      <c r="BM22" s="0" t="n">
        <f aca="false">IF($B$21=1,IF(OR(BS22&gt;=Settings!$B$5,Settings!$C$14&gt;0),MAX(BL22,Settings!$C$14),0),0)</f>
        <v>35</v>
      </c>
      <c r="BN22" s="0" t="n">
        <f aca="false">IF($B$21=1,IF(OR(BS22&gt;=Settings!$B$5,Settings!$C$14&gt;0),MAX(0,(2*MAX(BL22,Settings!$C$14)+1)*$C$21-BS22),MAX(0,Settings!$B$5-BS22)),"")</f>
        <v>0.0067164179104478</v>
      </c>
      <c r="BO22" s="0" t="n">
        <f aca="false">IF($B$21=1,IF(OR(BS22&gt;=Settings!$B$5,Settings!$C$14&gt;0),IF(BL22&lt;=Settings!$C$14,"Protected by electorates",IF(Settings!$C$14=0,MIN(BS22-(2*BL22-1)*$D$21,BS22-Settings!$B$5),BS22-(2*BL22-1)*$D$21)),""),"")</f>
        <v>0.00588235294117645</v>
      </c>
      <c r="BP22" s="0" t="n">
        <f aca="false">IF($B$21=1,IF(OR(BS22&gt;=Settings!$B$5,Settings!$C$14&gt;0),MAX(0,MIN(1,(BS22/$C$21-(2*MAX(BL22,Settings!$C$14)-1))/2)),MIN(1,BS22/Settings!$B$5)),"")</f>
        <v>0.196428571428562</v>
      </c>
      <c r="BQ22" s="0" t="n">
        <f aca="false">IF(AND($B$21=1,COUNTIF(C22:BJ22,$C$21)&gt;0),1,0)</f>
        <v>0</v>
      </c>
      <c r="BR22" s="0" t="n">
        <f aca="false">IF(AND($B$21=1,COUNTIF(C22:BJ22,$D$21)&gt;0),1,0)</f>
        <v>0</v>
      </c>
      <c r="BS22" s="0" t="n">
        <f aca="false">N(IF(Polls!H8="",Polls!H37,Polls!H8))</f>
        <v>0.29</v>
      </c>
      <c r="BT22" s="0" t="str">
        <f aca="false">IF(OR(BS22&gt;=Settings!$B$5,Settings!$C$14&gt;0),"Next seat","Threshold")</f>
        <v>Next seat</v>
      </c>
    </row>
    <row r="23" customFormat="false" ht="15" hidden="false" customHeight="false" outlineLevel="0" collapsed="false">
      <c r="A23" s="0" t="s">
        <v>43</v>
      </c>
      <c r="B23" s="0" t="n">
        <f aca="false">IF(OR(BS23&gt;=Settings!$B$5,Settings!$C$15&gt;0),BS23,0)</f>
        <v>0.28</v>
      </c>
      <c r="C23" s="0" t="n">
        <f aca="false">$B23/C$1</f>
        <v>0.28</v>
      </c>
      <c r="D23" s="0" t="n">
        <f aca="false">$B23/D$1</f>
        <v>0.0933333333333333</v>
      </c>
      <c r="E23" s="0" t="n">
        <f aca="false">$B23/E$1</f>
        <v>0.056</v>
      </c>
      <c r="F23" s="0" t="n">
        <f aca="false">$B23/F$1</f>
        <v>0.04</v>
      </c>
      <c r="G23" s="0" t="n">
        <f aca="false">$B23/G$1</f>
        <v>0.0311111111111111</v>
      </c>
      <c r="H23" s="0" t="n">
        <f aca="false">$B23/H$1</f>
        <v>0.0254545454545455</v>
      </c>
      <c r="I23" s="0" t="n">
        <f aca="false">$B23/I$1</f>
        <v>0.0215384615384615</v>
      </c>
      <c r="J23" s="0" t="n">
        <f aca="false">$B23/J$1</f>
        <v>0.0186666666666667</v>
      </c>
      <c r="K23" s="0" t="n">
        <f aca="false">$B23/K$1</f>
        <v>0.0164705882352941</v>
      </c>
      <c r="L23" s="0" t="n">
        <f aca="false">$B23/L$1</f>
        <v>0.0147368421052632</v>
      </c>
      <c r="M23" s="0" t="n">
        <f aca="false">$B23/M$1</f>
        <v>0.0133333333333333</v>
      </c>
      <c r="N23" s="0" t="n">
        <f aca="false">$B23/N$1</f>
        <v>0.0121739130434783</v>
      </c>
      <c r="O23" s="0" t="n">
        <f aca="false">$B23/O$1</f>
        <v>0.0112</v>
      </c>
      <c r="P23" s="0" t="n">
        <f aca="false">$B23/P$1</f>
        <v>0.0103703703703704</v>
      </c>
      <c r="Q23" s="0" t="n">
        <f aca="false">$B23/Q$1</f>
        <v>0.0096551724137931</v>
      </c>
      <c r="R23" s="0" t="n">
        <f aca="false">$B23/R$1</f>
        <v>0.00903225806451613</v>
      </c>
      <c r="S23" s="0" t="n">
        <f aca="false">$B23/S$1</f>
        <v>0.00848484848484849</v>
      </c>
      <c r="T23" s="0" t="n">
        <f aca="false">$B23/T$1</f>
        <v>0.008</v>
      </c>
      <c r="U23" s="0" t="n">
        <f aca="false">$B23/U$1</f>
        <v>0.00756756756756757</v>
      </c>
      <c r="V23" s="0" t="n">
        <f aca="false">$B23/V$1</f>
        <v>0.00717948717948718</v>
      </c>
      <c r="W23" s="0" t="n">
        <f aca="false">$B23/W$1</f>
        <v>0.00682926829268293</v>
      </c>
      <c r="X23" s="0" t="n">
        <f aca="false">$B23/X$1</f>
        <v>0.00651162790697674</v>
      </c>
      <c r="Y23" s="0" t="n">
        <f aca="false">$B23/Y$1</f>
        <v>0.00622222222222222</v>
      </c>
      <c r="Z23" s="0" t="n">
        <f aca="false">$B23/Z$1</f>
        <v>0.00595744680851064</v>
      </c>
      <c r="AA23" s="0" t="n">
        <f aca="false">$B23/AA$1</f>
        <v>0.00571428571428572</v>
      </c>
      <c r="AB23" s="0" t="n">
        <f aca="false">$B23/AB$1</f>
        <v>0.00549019607843137</v>
      </c>
      <c r="AC23" s="0" t="n">
        <f aca="false">$B23/AC$1</f>
        <v>0.00528301886792453</v>
      </c>
      <c r="AD23" s="0" t="n">
        <f aca="false">$B23/AD$1</f>
        <v>0.00509090909090909</v>
      </c>
      <c r="AE23" s="0" t="n">
        <f aca="false">$B23/AE$1</f>
        <v>0.00491228070175439</v>
      </c>
      <c r="AF23" s="0" t="n">
        <f aca="false">$B23/AF$1</f>
        <v>0.00474576271186441</v>
      </c>
      <c r="AG23" s="0" t="n">
        <f aca="false">$B23/AG$1</f>
        <v>0.00459016393442623</v>
      </c>
      <c r="AH23" s="0" t="n">
        <f aca="false">$B23/AH$1</f>
        <v>0.00444444444444444</v>
      </c>
      <c r="AI23" s="0" t="n">
        <f aca="false">$B23/AI$1</f>
        <v>0.00430769230769231</v>
      </c>
      <c r="AJ23" s="0" t="n">
        <f aca="false">$B23/AJ$1</f>
        <v>0.00417910447761194</v>
      </c>
      <c r="AK23" s="0" t="n">
        <f aca="false">$B23/AK$1</f>
        <v>0.00405797101449275</v>
      </c>
      <c r="AL23" s="0" t="n">
        <f aca="false">$B23/AL$1</f>
        <v>0.00394366197183099</v>
      </c>
      <c r="AM23" s="0" t="n">
        <f aca="false">$B23/AM$1</f>
        <v>0.00383561643835616</v>
      </c>
      <c r="AN23" s="0" t="n">
        <f aca="false">$B23/AN$1</f>
        <v>0.00373333333333333</v>
      </c>
      <c r="AO23" s="0" t="n">
        <f aca="false">$B23/AO$1</f>
        <v>0.00363636363636364</v>
      </c>
      <c r="AP23" s="0" t="n">
        <f aca="false">$B23/AP$1</f>
        <v>0.00354430379746835</v>
      </c>
      <c r="AQ23" s="0" t="n">
        <f aca="false">$B23/AQ$1</f>
        <v>0.00345679012345679</v>
      </c>
      <c r="AR23" s="0" t="n">
        <f aca="false">$B23/AR$1</f>
        <v>0.00337349397590362</v>
      </c>
      <c r="AS23" s="0" t="n">
        <f aca="false">$B23/AS$1</f>
        <v>0.00329411764705882</v>
      </c>
      <c r="AT23" s="0" t="n">
        <f aca="false">$B23/AT$1</f>
        <v>0.0032183908045977</v>
      </c>
      <c r="AU23" s="0" t="n">
        <f aca="false">$B23/AU$1</f>
        <v>0.00314606741573034</v>
      </c>
      <c r="AV23" s="0" t="n">
        <f aca="false">$B23/AV$1</f>
        <v>0.00307692307692308</v>
      </c>
      <c r="AW23" s="0" t="n">
        <f aca="false">$B23/AW$1</f>
        <v>0.00301075268817204</v>
      </c>
      <c r="AX23" s="0" t="n">
        <f aca="false">$B23/AX$1</f>
        <v>0.00294736842105263</v>
      </c>
      <c r="AY23" s="0" t="n">
        <f aca="false">$B23/AY$1</f>
        <v>0.00288659793814433</v>
      </c>
      <c r="AZ23" s="0" t="n">
        <f aca="false">$B23/AZ$1</f>
        <v>0.00282828282828283</v>
      </c>
      <c r="BA23" s="0" t="n">
        <f aca="false">$B23/BA$1</f>
        <v>0.00277227722772277</v>
      </c>
      <c r="BB23" s="0" t="n">
        <f aca="false">$B23/BB$1</f>
        <v>0.00271844660194175</v>
      </c>
      <c r="BC23" s="0" t="n">
        <f aca="false">$B23/BC$1</f>
        <v>0.00266666666666667</v>
      </c>
      <c r="BD23" s="0" t="n">
        <f aca="false">$B23/BD$1</f>
        <v>0.00261682242990654</v>
      </c>
      <c r="BE23" s="0" t="n">
        <f aca="false">$B23/BE$1</f>
        <v>0.00256880733944954</v>
      </c>
      <c r="BF23" s="0" t="n">
        <f aca="false">$B23/BF$1</f>
        <v>0.00252252252252252</v>
      </c>
      <c r="BG23" s="0" t="n">
        <f aca="false">$B23/BG$1</f>
        <v>0.00247787610619469</v>
      </c>
      <c r="BH23" s="0" t="n">
        <f aca="false">$B23/BH$1</f>
        <v>0.00243478260869565</v>
      </c>
      <c r="BI23" s="0" t="n">
        <f aca="false">$B23/BI$1</f>
        <v>0.00239316239316239</v>
      </c>
      <c r="BJ23" s="0" t="n">
        <f aca="false">$B23/BJ$1</f>
        <v>0.00235294117647059</v>
      </c>
      <c r="BL23" s="0" t="n">
        <f aca="false">IF($B$21=1,COUNTIF(C23:BJ23,"&gt;="&amp;$C$21),0)</f>
        <v>34</v>
      </c>
      <c r="BM23" s="0" t="n">
        <f aca="false">IF($B$21=1,IF(OR(BS23&gt;=Settings!$B$5,Settings!$C$15&gt;0),MAX(BL23,Settings!$C$15),0),0)</f>
        <v>34</v>
      </c>
      <c r="BN23" s="0" t="n">
        <f aca="false">IF($B$21=1,IF(OR(BS23&gt;=Settings!$B$5,Settings!$C$15&gt;0),MAX(0,(2*MAX(BL23,Settings!$C$15)+1)*$C$21-BS23),MAX(0,Settings!$B$5-BS23)),"")</f>
        <v>0.00835820895522388</v>
      </c>
      <c r="BO23" s="0" t="n">
        <f aca="false">IF($B$21=1,IF(OR(BS23&gt;=Settings!$B$5,Settings!$C$15&gt;0),IF(BL23&lt;=Settings!$C$15,"Protected by electorates",IF(Settings!$C$15=0,MIN(BS23-(2*BL23-1)*$D$21,BS23-Settings!$B$5),BS23-(2*BL23-1)*$D$21)),""),"")</f>
        <v>0.00411764705882356</v>
      </c>
      <c r="BP23" s="0" t="n">
        <f aca="false">IF($B$21=1,IF(OR(BS23&gt;=Settings!$B$5,Settings!$C$15&gt;0),MAX(0,MIN(1,(BS23/$C$21-(2*MAX(BL23,Settings!$C$15)-1))/2)),MIN(1,BS23/Settings!$B$5)),"")</f>
        <v>0</v>
      </c>
      <c r="BQ23" s="0" t="n">
        <f aca="false">IF(AND($B$21=1,COUNTIF(C23:BJ23,$C$21)&gt;0),1,0)</f>
        <v>1</v>
      </c>
      <c r="BR23" s="0" t="n">
        <f aca="false">IF(AND($B$21=1,COUNTIF(C23:BJ23,$D$21)&gt;0),1,0)</f>
        <v>0</v>
      </c>
      <c r="BS23" s="0" t="n">
        <f aca="false">N(IF(Polls!I8="",Polls!I37,Polls!I8))</f>
        <v>0.28</v>
      </c>
      <c r="BT23" s="0" t="str">
        <f aca="false">IF(OR(BS23&gt;=Settings!$B$5,Settings!$C$15&gt;0),"Next seat","Threshold")</f>
        <v>Next seat</v>
      </c>
    </row>
    <row r="24" customFormat="false" ht="15" hidden="false" customHeight="false" outlineLevel="0" collapsed="false">
      <c r="A24" s="0" t="s">
        <v>45</v>
      </c>
      <c r="B24" s="0" t="n">
        <f aca="false">IF(OR(BS24&gt;=Settings!$B$5,Settings!$C$16&gt;0),BS24,0)</f>
        <v>0.16</v>
      </c>
      <c r="C24" s="0" t="n">
        <f aca="false">$B24/C$1</f>
        <v>0.16</v>
      </c>
      <c r="D24" s="0" t="n">
        <f aca="false">$B24/D$1</f>
        <v>0.0533333333333333</v>
      </c>
      <c r="E24" s="0" t="n">
        <f aca="false">$B24/E$1</f>
        <v>0.032</v>
      </c>
      <c r="F24" s="0" t="n">
        <f aca="false">$B24/F$1</f>
        <v>0.0228571428571429</v>
      </c>
      <c r="G24" s="0" t="n">
        <f aca="false">$B24/G$1</f>
        <v>0.0177777777777778</v>
      </c>
      <c r="H24" s="0" t="n">
        <f aca="false">$B24/H$1</f>
        <v>0.0145454545454545</v>
      </c>
      <c r="I24" s="0" t="n">
        <f aca="false">$B24/I$1</f>
        <v>0.0123076923076923</v>
      </c>
      <c r="J24" s="0" t="n">
        <f aca="false">$B24/J$1</f>
        <v>0.0106666666666667</v>
      </c>
      <c r="K24" s="0" t="n">
        <f aca="false">$B24/K$1</f>
        <v>0.00941176470588235</v>
      </c>
      <c r="L24" s="0" t="n">
        <f aca="false">$B24/L$1</f>
        <v>0.00842105263157895</v>
      </c>
      <c r="M24" s="0" t="n">
        <f aca="false">$B24/M$1</f>
        <v>0.00761904761904762</v>
      </c>
      <c r="N24" s="0" t="n">
        <f aca="false">$B24/N$1</f>
        <v>0.00695652173913044</v>
      </c>
      <c r="O24" s="0" t="n">
        <f aca="false">$B24/O$1</f>
        <v>0.0064</v>
      </c>
      <c r="P24" s="0" t="n">
        <f aca="false">$B24/P$1</f>
        <v>0.00592592592592593</v>
      </c>
      <c r="Q24" s="0" t="n">
        <f aca="false">$B24/Q$1</f>
        <v>0.00551724137931035</v>
      </c>
      <c r="R24" s="0" t="n">
        <f aca="false">$B24/R$1</f>
        <v>0.00516129032258065</v>
      </c>
      <c r="S24" s="0" t="n">
        <f aca="false">$B24/S$1</f>
        <v>0.00484848484848485</v>
      </c>
      <c r="T24" s="0" t="n">
        <f aca="false">$B24/T$1</f>
        <v>0.00457142857142857</v>
      </c>
      <c r="U24" s="0" t="n">
        <f aca="false">$B24/U$1</f>
        <v>0.00432432432432432</v>
      </c>
      <c r="V24" s="0" t="n">
        <f aca="false">$B24/V$1</f>
        <v>0.0041025641025641</v>
      </c>
      <c r="W24" s="0" t="n">
        <f aca="false">$B24/W$1</f>
        <v>0.00390243902439024</v>
      </c>
      <c r="X24" s="0" t="n">
        <f aca="false">$B24/X$1</f>
        <v>0.00372093023255814</v>
      </c>
      <c r="Y24" s="0" t="n">
        <f aca="false">$B24/Y$1</f>
        <v>0.00355555555555556</v>
      </c>
      <c r="Z24" s="0" t="n">
        <f aca="false">$B24/Z$1</f>
        <v>0.00340425531914894</v>
      </c>
      <c r="AA24" s="0" t="n">
        <f aca="false">$B24/AA$1</f>
        <v>0.00326530612244898</v>
      </c>
      <c r="AB24" s="0" t="n">
        <f aca="false">$B24/AB$1</f>
        <v>0.00313725490196078</v>
      </c>
      <c r="AC24" s="0" t="n">
        <f aca="false">$B24/AC$1</f>
        <v>0.0030188679245283</v>
      </c>
      <c r="AD24" s="0" t="n">
        <f aca="false">$B24/AD$1</f>
        <v>0.00290909090909091</v>
      </c>
      <c r="AE24" s="0" t="n">
        <f aca="false">$B24/AE$1</f>
        <v>0.00280701754385965</v>
      </c>
      <c r="AF24" s="0" t="n">
        <f aca="false">$B24/AF$1</f>
        <v>0.00271186440677966</v>
      </c>
      <c r="AG24" s="0" t="n">
        <f aca="false">$B24/AG$1</f>
        <v>0.00262295081967213</v>
      </c>
      <c r="AH24" s="0" t="n">
        <f aca="false">$B24/AH$1</f>
        <v>0.00253968253968254</v>
      </c>
      <c r="AI24" s="0" t="n">
        <f aca="false">$B24/AI$1</f>
        <v>0.00246153846153846</v>
      </c>
      <c r="AJ24" s="0" t="n">
        <f aca="false">$B24/AJ$1</f>
        <v>0.00238805970149254</v>
      </c>
      <c r="AK24" s="0" t="n">
        <f aca="false">$B24/AK$1</f>
        <v>0.00231884057971015</v>
      </c>
      <c r="AL24" s="0" t="n">
        <f aca="false">$B24/AL$1</f>
        <v>0.00225352112676056</v>
      </c>
      <c r="AM24" s="0" t="n">
        <f aca="false">$B24/AM$1</f>
        <v>0.00219178082191781</v>
      </c>
      <c r="AN24" s="0" t="n">
        <f aca="false">$B24/AN$1</f>
        <v>0.00213333333333333</v>
      </c>
      <c r="AO24" s="0" t="n">
        <f aca="false">$B24/AO$1</f>
        <v>0.00207792207792208</v>
      </c>
      <c r="AP24" s="0" t="n">
        <f aca="false">$B24/AP$1</f>
        <v>0.0020253164556962</v>
      </c>
      <c r="AQ24" s="0" t="n">
        <f aca="false">$B24/AQ$1</f>
        <v>0.00197530864197531</v>
      </c>
      <c r="AR24" s="0" t="n">
        <f aca="false">$B24/AR$1</f>
        <v>0.00192771084337349</v>
      </c>
      <c r="AS24" s="0" t="n">
        <f aca="false">$B24/AS$1</f>
        <v>0.00188235294117647</v>
      </c>
      <c r="AT24" s="0" t="n">
        <f aca="false">$B24/AT$1</f>
        <v>0.00183908045977011</v>
      </c>
      <c r="AU24" s="0" t="n">
        <f aca="false">$B24/AU$1</f>
        <v>0.00179775280898876</v>
      </c>
      <c r="AV24" s="0" t="n">
        <f aca="false">$B24/AV$1</f>
        <v>0.00175824175824176</v>
      </c>
      <c r="AW24" s="0" t="n">
        <f aca="false">$B24/AW$1</f>
        <v>0.00172043010752688</v>
      </c>
      <c r="AX24" s="0" t="n">
        <f aca="false">$B24/AX$1</f>
        <v>0.00168421052631579</v>
      </c>
      <c r="AY24" s="0" t="n">
        <f aca="false">$B24/AY$1</f>
        <v>0.00164948453608247</v>
      </c>
      <c r="AZ24" s="0" t="n">
        <f aca="false">$B24/AZ$1</f>
        <v>0.00161616161616162</v>
      </c>
      <c r="BA24" s="0" t="n">
        <f aca="false">$B24/BA$1</f>
        <v>0.00158415841584158</v>
      </c>
      <c r="BB24" s="0" t="n">
        <f aca="false">$B24/BB$1</f>
        <v>0.00155339805825243</v>
      </c>
      <c r="BC24" s="0" t="n">
        <f aca="false">$B24/BC$1</f>
        <v>0.00152380952380952</v>
      </c>
      <c r="BD24" s="0" t="n">
        <f aca="false">$B24/BD$1</f>
        <v>0.00149532710280374</v>
      </c>
      <c r="BE24" s="0" t="n">
        <f aca="false">$B24/BE$1</f>
        <v>0.00146788990825688</v>
      </c>
      <c r="BF24" s="0" t="n">
        <f aca="false">$B24/BF$1</f>
        <v>0.00144144144144144</v>
      </c>
      <c r="BG24" s="0" t="n">
        <f aca="false">$B24/BG$1</f>
        <v>0.00141592920353982</v>
      </c>
      <c r="BH24" s="0" t="n">
        <f aca="false">$B24/BH$1</f>
        <v>0.00139130434782609</v>
      </c>
      <c r="BI24" s="0" t="n">
        <f aca="false">$B24/BI$1</f>
        <v>0.00136752136752137</v>
      </c>
      <c r="BJ24" s="0" t="n">
        <f aca="false">$B24/BJ$1</f>
        <v>0.00134453781512605</v>
      </c>
      <c r="BL24" s="0" t="n">
        <f aca="false">IF($B$21=1,COUNTIF(C24:BJ24,"&gt;="&amp;$C$21),0)</f>
        <v>19</v>
      </c>
      <c r="BM24" s="0" t="n">
        <f aca="false">IF($B$21=1,IF(OR(BS24&gt;=Settings!$B$5,Settings!$C$16&gt;0),MAX(BL24,Settings!$C$16),0),0)</f>
        <v>19</v>
      </c>
      <c r="BN24" s="0" t="n">
        <f aca="false">IF($B$21=1,IF(OR(BS24&gt;=Settings!$B$5,Settings!$C$16&gt;0),MAX(0,(2*MAX(BL24,Settings!$C$16)+1)*$C$21-BS24),MAX(0,Settings!$B$5-BS24)),"")</f>
        <v>0.00298507462686567</v>
      </c>
      <c r="BO24" s="0" t="n">
        <f aca="false">IF($B$21=1,IF(OR(BS24&gt;=Settings!$B$5,Settings!$C$16&gt;0),IF(BL24&lt;=Settings!$C$16,"Protected by electorates",IF(Settings!$C$16=0,MIN(BS24-(2*BL24-1)*$D$21,BS24-Settings!$B$5),BS24-(2*BL24-1)*$D$21)),""),"")</f>
        <v>0.0076470588235294</v>
      </c>
      <c r="BP24" s="0" t="n">
        <f aca="false">IF($B$21=1,IF(OR(BS24&gt;=Settings!$B$5,Settings!$C$16&gt;0),MAX(0,MIN(1,(BS24/$C$21-(2*MAX(BL24,Settings!$C$16)-1))/2)),MIN(1,BS24/Settings!$B$5)),"")</f>
        <v>0.642857142857142</v>
      </c>
      <c r="BQ24" s="0" t="n">
        <f aca="false">IF(AND($B$21=1,COUNTIF(C24:BJ24,$C$21)&gt;0),1,0)</f>
        <v>0</v>
      </c>
      <c r="BR24" s="0" t="n">
        <f aca="false">IF(AND($B$21=1,COUNTIF(C24:BJ24,$D$21)&gt;0),1,0)</f>
        <v>0</v>
      </c>
      <c r="BS24" s="0" t="n">
        <f aca="false">N(IF(Polls!J8="",Polls!J37,Polls!J8))</f>
        <v>0.16</v>
      </c>
      <c r="BT24" s="0" t="str">
        <f aca="false">IF(OR(BS24&gt;=Settings!$B$5,Settings!$C$16&gt;0),"Next seat","Threshold")</f>
        <v>Next seat</v>
      </c>
    </row>
    <row r="25" customFormat="false" ht="15" hidden="false" customHeight="false" outlineLevel="0" collapsed="false">
      <c r="A25" s="0" t="s">
        <v>46</v>
      </c>
      <c r="B25" s="0" t="n">
        <f aca="false">IF(OR(BS25&gt;=Settings!$B$5,Settings!$C$17&gt;0),BS25,0)</f>
        <v>0.09</v>
      </c>
      <c r="C25" s="0" t="n">
        <f aca="false">$B25/C$1</f>
        <v>0.09</v>
      </c>
      <c r="D25" s="0" t="n">
        <f aca="false">$B25/D$1</f>
        <v>0.03</v>
      </c>
      <c r="E25" s="0" t="n">
        <f aca="false">$B25/E$1</f>
        <v>0.018</v>
      </c>
      <c r="F25" s="0" t="n">
        <f aca="false">$B25/F$1</f>
        <v>0.0128571428571429</v>
      </c>
      <c r="G25" s="0" t="n">
        <f aca="false">$B25/G$1</f>
        <v>0.01</v>
      </c>
      <c r="H25" s="0" t="n">
        <f aca="false">$B25/H$1</f>
        <v>0.00818181818181818</v>
      </c>
      <c r="I25" s="0" t="n">
        <f aca="false">$B25/I$1</f>
        <v>0.00692307692307692</v>
      </c>
      <c r="J25" s="0" t="n">
        <f aca="false">$B25/J$1</f>
        <v>0.006</v>
      </c>
      <c r="K25" s="0" t="n">
        <f aca="false">$B25/K$1</f>
        <v>0.00529411764705882</v>
      </c>
      <c r="L25" s="0" t="n">
        <f aca="false">$B25/L$1</f>
        <v>0.00473684210526316</v>
      </c>
      <c r="M25" s="0" t="n">
        <f aca="false">$B25/M$1</f>
        <v>0.00428571428571429</v>
      </c>
      <c r="N25" s="0" t="n">
        <f aca="false">$B25/N$1</f>
        <v>0.00391304347826087</v>
      </c>
      <c r="O25" s="0" t="n">
        <f aca="false">$B25/O$1</f>
        <v>0.0036</v>
      </c>
      <c r="P25" s="0" t="n">
        <f aca="false">$B25/P$1</f>
        <v>0.00333333333333333</v>
      </c>
      <c r="Q25" s="0" t="n">
        <f aca="false">$B25/Q$1</f>
        <v>0.00310344827586207</v>
      </c>
      <c r="R25" s="0" t="n">
        <f aca="false">$B25/R$1</f>
        <v>0.00290322580645161</v>
      </c>
      <c r="S25" s="0" t="n">
        <f aca="false">$B25/S$1</f>
        <v>0.00272727272727273</v>
      </c>
      <c r="T25" s="0" t="n">
        <f aca="false">$B25/T$1</f>
        <v>0.00257142857142857</v>
      </c>
      <c r="U25" s="0" t="n">
        <f aca="false">$B25/U$1</f>
        <v>0.00243243243243243</v>
      </c>
      <c r="V25" s="0" t="n">
        <f aca="false">$B25/V$1</f>
        <v>0.00230769230769231</v>
      </c>
      <c r="W25" s="0" t="n">
        <f aca="false">$B25/W$1</f>
        <v>0.00219512195121951</v>
      </c>
      <c r="X25" s="0" t="n">
        <f aca="false">$B25/X$1</f>
        <v>0.00209302325581395</v>
      </c>
      <c r="Y25" s="0" t="n">
        <f aca="false">$B25/Y$1</f>
        <v>0.002</v>
      </c>
      <c r="Z25" s="0" t="n">
        <f aca="false">$B25/Z$1</f>
        <v>0.00191489361702128</v>
      </c>
      <c r="AA25" s="0" t="n">
        <f aca="false">$B25/AA$1</f>
        <v>0.00183673469387755</v>
      </c>
      <c r="AB25" s="0" t="n">
        <f aca="false">$B25/AB$1</f>
        <v>0.00176470588235294</v>
      </c>
      <c r="AC25" s="0" t="n">
        <f aca="false">$B25/AC$1</f>
        <v>0.00169811320754717</v>
      </c>
      <c r="AD25" s="0" t="n">
        <f aca="false">$B25/AD$1</f>
        <v>0.00163636363636364</v>
      </c>
      <c r="AE25" s="0" t="n">
        <f aca="false">$B25/AE$1</f>
        <v>0.00157894736842105</v>
      </c>
      <c r="AF25" s="0" t="n">
        <f aca="false">$B25/AF$1</f>
        <v>0.00152542372881356</v>
      </c>
      <c r="AG25" s="0" t="n">
        <f aca="false">$B25/AG$1</f>
        <v>0.00147540983606557</v>
      </c>
      <c r="AH25" s="0" t="n">
        <f aca="false">$B25/AH$1</f>
        <v>0.00142857142857143</v>
      </c>
      <c r="AI25" s="0" t="n">
        <f aca="false">$B25/AI$1</f>
        <v>0.00138461538461538</v>
      </c>
      <c r="AJ25" s="0" t="n">
        <f aca="false">$B25/AJ$1</f>
        <v>0.00134328358208955</v>
      </c>
      <c r="AK25" s="0" t="n">
        <f aca="false">$B25/AK$1</f>
        <v>0.00130434782608696</v>
      </c>
      <c r="AL25" s="0" t="n">
        <f aca="false">$B25/AL$1</f>
        <v>0.00126760563380282</v>
      </c>
      <c r="AM25" s="0" t="n">
        <f aca="false">$B25/AM$1</f>
        <v>0.00123287671232877</v>
      </c>
      <c r="AN25" s="0" t="n">
        <f aca="false">$B25/AN$1</f>
        <v>0.0012</v>
      </c>
      <c r="AO25" s="0" t="n">
        <f aca="false">$B25/AO$1</f>
        <v>0.00116883116883117</v>
      </c>
      <c r="AP25" s="0" t="n">
        <f aca="false">$B25/AP$1</f>
        <v>0.00113924050632911</v>
      </c>
      <c r="AQ25" s="0" t="n">
        <f aca="false">$B25/AQ$1</f>
        <v>0.00111111111111111</v>
      </c>
      <c r="AR25" s="0" t="n">
        <f aca="false">$B25/AR$1</f>
        <v>0.00108433734939759</v>
      </c>
      <c r="AS25" s="0" t="n">
        <f aca="false">$B25/AS$1</f>
        <v>0.00105882352941176</v>
      </c>
      <c r="AT25" s="0" t="n">
        <f aca="false">$B25/AT$1</f>
        <v>0.00103448275862069</v>
      </c>
      <c r="AU25" s="0" t="n">
        <f aca="false">$B25/AU$1</f>
        <v>0.00101123595505618</v>
      </c>
      <c r="AV25" s="0" t="n">
        <f aca="false">$B25/AV$1</f>
        <v>0.000989010989010989</v>
      </c>
      <c r="AW25" s="0" t="n">
        <f aca="false">$B25/AW$1</f>
        <v>0.000967741935483871</v>
      </c>
      <c r="AX25" s="0" t="n">
        <f aca="false">$B25/AX$1</f>
        <v>0.000947368421052632</v>
      </c>
      <c r="AY25" s="0" t="n">
        <f aca="false">$B25/AY$1</f>
        <v>0.000927835051546392</v>
      </c>
      <c r="AZ25" s="0" t="n">
        <f aca="false">$B25/AZ$1</f>
        <v>0.000909090909090909</v>
      </c>
      <c r="BA25" s="0" t="n">
        <f aca="false">$B25/BA$1</f>
        <v>0.000891089108910891</v>
      </c>
      <c r="BB25" s="0" t="n">
        <f aca="false">$B25/BB$1</f>
        <v>0.00087378640776699</v>
      </c>
      <c r="BC25" s="0" t="n">
        <f aca="false">$B25/BC$1</f>
        <v>0.000857142857142857</v>
      </c>
      <c r="BD25" s="0" t="n">
        <f aca="false">$B25/BD$1</f>
        <v>0.000841121495327103</v>
      </c>
      <c r="BE25" s="0" t="n">
        <f aca="false">$B25/BE$1</f>
        <v>0.000825688073394495</v>
      </c>
      <c r="BF25" s="0" t="n">
        <f aca="false">$B25/BF$1</f>
        <v>0.000810810810810811</v>
      </c>
      <c r="BG25" s="0" t="n">
        <f aca="false">$B25/BG$1</f>
        <v>0.00079646017699115</v>
      </c>
      <c r="BH25" s="0" t="n">
        <f aca="false">$B25/BH$1</f>
        <v>0.000782608695652174</v>
      </c>
      <c r="BI25" s="0" t="n">
        <f aca="false">$B25/BI$1</f>
        <v>0.000769230769230769</v>
      </c>
      <c r="BJ25" s="0" t="n">
        <f aca="false">$B25/BJ$1</f>
        <v>0.000756302521008403</v>
      </c>
      <c r="BL25" s="0" t="n">
        <f aca="false">IF($B$21=1,COUNTIF(C25:BJ25,"&gt;="&amp;$C$21),0)</f>
        <v>11</v>
      </c>
      <c r="BM25" s="0" t="n">
        <f aca="false">IF($B$21=1,IF(OR(BS25&gt;=Settings!$B$5,Settings!$C$17&gt;0),MAX(BL25,Settings!$C$17),0),0)</f>
        <v>11</v>
      </c>
      <c r="BN25" s="0" t="n">
        <f aca="false">IF($B$21=1,IF(OR(BS25&gt;=Settings!$B$5,Settings!$C$17&gt;0),MAX(0,(2*MAX(BL25,Settings!$C$17)+1)*$C$21-BS25),MAX(0,Settings!$B$5-BS25)),"")</f>
        <v>0.00611940298507464</v>
      </c>
      <c r="BO25" s="0" t="n">
        <f aca="false">IF($B$21=1,IF(OR(BS25&gt;=Settings!$B$5,Settings!$C$17&gt;0),IF(BL25&lt;=Settings!$C$17,"Protected by electorates",IF(Settings!$C$17=0,MIN(BS25-(2*BL25-1)*$D$21,BS25-Settings!$B$5),BS25-(2*BL25-1)*$D$21)),""),"")</f>
        <v>0.00352941176470588</v>
      </c>
      <c r="BP25" s="0" t="n">
        <f aca="false">IF($B$21=1,IF(OR(BS25&gt;=Settings!$B$5,Settings!$C$17&gt;0),MAX(0,MIN(1,(BS25/$C$21-(2*MAX(BL25,Settings!$C$17)-1))/2)),MIN(1,BS25/Settings!$B$5)),"")</f>
        <v>0.267857142857141</v>
      </c>
      <c r="BQ25" s="0" t="n">
        <f aca="false">IF(AND($B$21=1,COUNTIF(C25:BJ25,$C$21)&gt;0),1,0)</f>
        <v>0</v>
      </c>
      <c r="BR25" s="0" t="n">
        <f aca="false">IF(AND($B$21=1,COUNTIF(C25:BJ25,$D$21)&gt;0),1,0)</f>
        <v>0</v>
      </c>
      <c r="BS25" s="0" t="n">
        <f aca="false">N(IF(Polls!K8="",Polls!K37,Polls!K8))</f>
        <v>0.09</v>
      </c>
      <c r="BT25" s="0" t="str">
        <f aca="false">IF(OR(BS25&gt;=Settings!$B$5,Settings!$C$17&gt;0),"Next seat","Threshold")</f>
        <v>Next seat</v>
      </c>
    </row>
    <row r="26" customFormat="false" ht="15" hidden="false" customHeight="false" outlineLevel="0" collapsed="false">
      <c r="A26" s="0" t="s">
        <v>48</v>
      </c>
      <c r="B26" s="0" t="n">
        <f aca="false">IF(OR(BS26&gt;=Settings!$B$5,Settings!$C$18&gt;0),BS26,0)</f>
        <v>0.1</v>
      </c>
      <c r="C26" s="0" t="n">
        <f aca="false">$B26/C$1</f>
        <v>0.1</v>
      </c>
      <c r="D26" s="0" t="n">
        <f aca="false">$B26/D$1</f>
        <v>0.0333333333333333</v>
      </c>
      <c r="E26" s="0" t="n">
        <f aca="false">$B26/E$1</f>
        <v>0.02</v>
      </c>
      <c r="F26" s="0" t="n">
        <f aca="false">$B26/F$1</f>
        <v>0.0142857142857143</v>
      </c>
      <c r="G26" s="0" t="n">
        <f aca="false">$B26/G$1</f>
        <v>0.0111111111111111</v>
      </c>
      <c r="H26" s="0" t="n">
        <f aca="false">$B26/H$1</f>
        <v>0.00909090909090909</v>
      </c>
      <c r="I26" s="0" t="n">
        <f aca="false">$B26/I$1</f>
        <v>0.00769230769230769</v>
      </c>
      <c r="J26" s="0" t="n">
        <f aca="false">$B26/J$1</f>
        <v>0.00666666666666667</v>
      </c>
      <c r="K26" s="0" t="n">
        <f aca="false">$B26/K$1</f>
        <v>0.00588235294117647</v>
      </c>
      <c r="L26" s="0" t="n">
        <f aca="false">$B26/L$1</f>
        <v>0.00526315789473684</v>
      </c>
      <c r="M26" s="0" t="n">
        <f aca="false">$B26/M$1</f>
        <v>0.00476190476190476</v>
      </c>
      <c r="N26" s="0" t="n">
        <f aca="false">$B26/N$1</f>
        <v>0.00434782608695652</v>
      </c>
      <c r="O26" s="0" t="n">
        <f aca="false">$B26/O$1</f>
        <v>0.004</v>
      </c>
      <c r="P26" s="0" t="n">
        <f aca="false">$B26/P$1</f>
        <v>0.0037037037037037</v>
      </c>
      <c r="Q26" s="0" t="n">
        <f aca="false">$B26/Q$1</f>
        <v>0.00344827586206897</v>
      </c>
      <c r="R26" s="0" t="n">
        <f aca="false">$B26/R$1</f>
        <v>0.0032258064516129</v>
      </c>
      <c r="S26" s="0" t="n">
        <f aca="false">$B26/S$1</f>
        <v>0.00303030303030303</v>
      </c>
      <c r="T26" s="0" t="n">
        <f aca="false">$B26/T$1</f>
        <v>0.00285714285714286</v>
      </c>
      <c r="U26" s="0" t="n">
        <f aca="false">$B26/U$1</f>
        <v>0.0027027027027027</v>
      </c>
      <c r="V26" s="0" t="n">
        <f aca="false">$B26/V$1</f>
        <v>0.00256410256410256</v>
      </c>
      <c r="W26" s="0" t="n">
        <f aca="false">$B26/W$1</f>
        <v>0.0024390243902439</v>
      </c>
      <c r="X26" s="0" t="n">
        <f aca="false">$B26/X$1</f>
        <v>0.00232558139534884</v>
      </c>
      <c r="Y26" s="0" t="n">
        <f aca="false">$B26/Y$1</f>
        <v>0.00222222222222222</v>
      </c>
      <c r="Z26" s="0" t="n">
        <f aca="false">$B26/Z$1</f>
        <v>0.00212765957446809</v>
      </c>
      <c r="AA26" s="0" t="n">
        <f aca="false">$B26/AA$1</f>
        <v>0.00204081632653061</v>
      </c>
      <c r="AB26" s="0" t="n">
        <f aca="false">$B26/AB$1</f>
        <v>0.00196078431372549</v>
      </c>
      <c r="AC26" s="0" t="n">
        <f aca="false">$B26/AC$1</f>
        <v>0.00188679245283019</v>
      </c>
      <c r="AD26" s="0" t="n">
        <f aca="false">$B26/AD$1</f>
        <v>0.00181818181818182</v>
      </c>
      <c r="AE26" s="0" t="n">
        <f aca="false">$B26/AE$1</f>
        <v>0.00175438596491228</v>
      </c>
      <c r="AF26" s="0" t="n">
        <f aca="false">$B26/AF$1</f>
        <v>0.00169491525423729</v>
      </c>
      <c r="AG26" s="0" t="n">
        <f aca="false">$B26/AG$1</f>
        <v>0.00163934426229508</v>
      </c>
      <c r="AH26" s="0" t="n">
        <f aca="false">$B26/AH$1</f>
        <v>0.00158730158730159</v>
      </c>
      <c r="AI26" s="0" t="n">
        <f aca="false">$B26/AI$1</f>
        <v>0.00153846153846154</v>
      </c>
      <c r="AJ26" s="0" t="n">
        <f aca="false">$B26/AJ$1</f>
        <v>0.00149253731343284</v>
      </c>
      <c r="AK26" s="0" t="n">
        <f aca="false">$B26/AK$1</f>
        <v>0.00144927536231884</v>
      </c>
      <c r="AL26" s="0" t="n">
        <f aca="false">$B26/AL$1</f>
        <v>0.00140845070422535</v>
      </c>
      <c r="AM26" s="0" t="n">
        <f aca="false">$B26/AM$1</f>
        <v>0.00136986301369863</v>
      </c>
      <c r="AN26" s="0" t="n">
        <f aca="false">$B26/AN$1</f>
        <v>0.00133333333333333</v>
      </c>
      <c r="AO26" s="0" t="n">
        <f aca="false">$B26/AO$1</f>
        <v>0.0012987012987013</v>
      </c>
      <c r="AP26" s="0" t="n">
        <f aca="false">$B26/AP$1</f>
        <v>0.00126582278481013</v>
      </c>
      <c r="AQ26" s="0" t="n">
        <f aca="false">$B26/AQ$1</f>
        <v>0.00123456790123457</v>
      </c>
      <c r="AR26" s="0" t="n">
        <f aca="false">$B26/AR$1</f>
        <v>0.00120481927710843</v>
      </c>
      <c r="AS26" s="0" t="n">
        <f aca="false">$B26/AS$1</f>
        <v>0.00117647058823529</v>
      </c>
      <c r="AT26" s="0" t="n">
        <f aca="false">$B26/AT$1</f>
        <v>0.00114942528735632</v>
      </c>
      <c r="AU26" s="0" t="n">
        <f aca="false">$B26/AU$1</f>
        <v>0.00112359550561798</v>
      </c>
      <c r="AV26" s="0" t="n">
        <f aca="false">$B26/AV$1</f>
        <v>0.0010989010989011</v>
      </c>
      <c r="AW26" s="0" t="n">
        <f aca="false">$B26/AW$1</f>
        <v>0.0010752688172043</v>
      </c>
      <c r="AX26" s="0" t="n">
        <f aca="false">$B26/AX$1</f>
        <v>0.00105263157894737</v>
      </c>
      <c r="AY26" s="0" t="n">
        <f aca="false">$B26/AY$1</f>
        <v>0.00103092783505155</v>
      </c>
      <c r="AZ26" s="0" t="n">
        <f aca="false">$B26/AZ$1</f>
        <v>0.00101010101010101</v>
      </c>
      <c r="BA26" s="0" t="n">
        <f aca="false">$B26/BA$1</f>
        <v>0.00099009900990099</v>
      </c>
      <c r="BB26" s="0" t="n">
        <f aca="false">$B26/BB$1</f>
        <v>0.000970873786407767</v>
      </c>
      <c r="BC26" s="0" t="n">
        <f aca="false">$B26/BC$1</f>
        <v>0.000952380952380952</v>
      </c>
      <c r="BD26" s="0" t="n">
        <f aca="false">$B26/BD$1</f>
        <v>0.000934579439252337</v>
      </c>
      <c r="BE26" s="0" t="n">
        <f aca="false">$B26/BE$1</f>
        <v>0.000917431192660551</v>
      </c>
      <c r="BF26" s="0" t="n">
        <f aca="false">$B26/BF$1</f>
        <v>0.000900900900900901</v>
      </c>
      <c r="BG26" s="0" t="n">
        <f aca="false">$B26/BG$1</f>
        <v>0.00088495575221239</v>
      </c>
      <c r="BH26" s="0" t="n">
        <f aca="false">$B26/BH$1</f>
        <v>0.000869565217391304</v>
      </c>
      <c r="BI26" s="0" t="n">
        <f aca="false">$B26/BI$1</f>
        <v>0.000854700854700855</v>
      </c>
      <c r="BJ26" s="0" t="n">
        <f aca="false">$B26/BJ$1</f>
        <v>0.000840336134453782</v>
      </c>
      <c r="BL26" s="0" t="n">
        <f aca="false">IF($B$21=1,COUNTIF(C26:BJ26,"&gt;="&amp;$C$21),0)</f>
        <v>12</v>
      </c>
      <c r="BM26" s="0" t="n">
        <f aca="false">IF($B$21=1,IF(OR(BS26&gt;=Settings!$B$5,Settings!$C$18&gt;0),MAX(BL26,Settings!$C$18),0),0)</f>
        <v>12</v>
      </c>
      <c r="BN26" s="0" t="n">
        <f aca="false">IF($B$21=1,IF(OR(BS26&gt;=Settings!$B$5,Settings!$C$18&gt;0),MAX(0,(2*MAX(BL26,Settings!$C$18)+1)*$C$21-BS26),MAX(0,Settings!$B$5-BS26)),"")</f>
        <v>0.00447761194029851</v>
      </c>
      <c r="BO26" s="0" t="n">
        <f aca="false">IF($B$21=1,IF(OR(BS26&gt;=Settings!$B$5,Settings!$C$18&gt;0),IF(BL26&lt;=Settings!$C$18,"Protected by electorates",IF(Settings!$C$18=0,MIN(BS26-(2*BL26-1)*$D$21,BS26-Settings!$B$5),BS26-(2*BL26-1)*$D$21)),""),"")</f>
        <v>0.00529411764705882</v>
      </c>
      <c r="BP26" s="0" t="n">
        <f aca="false">IF($B$21=1,IF(OR(BS26&gt;=Settings!$B$5,Settings!$C$18&gt;0),MAX(0,MIN(1,(BS26/$C$21-(2*MAX(BL26,Settings!$C$18)-1))/2)),MIN(1,BS26/Settings!$B$5)),"")</f>
        <v>0.464285714285714</v>
      </c>
      <c r="BQ26" s="0" t="n">
        <f aca="false">IF(AND($B$21=1,COUNTIF(C26:BJ26,$C$21)&gt;0),1,0)</f>
        <v>0</v>
      </c>
      <c r="BR26" s="0" t="n">
        <f aca="false">IF(AND($B$21=1,COUNTIF(C26:BJ26,$D$21)&gt;0),1,0)</f>
        <v>0</v>
      </c>
      <c r="BS26" s="0" t="n">
        <f aca="false">N(IF(Polls!L8="",Polls!L37,Polls!L8))</f>
        <v>0.1</v>
      </c>
      <c r="BT26" s="0" t="str">
        <f aca="false">IF(OR(BS26&gt;=Settings!$B$5,Settings!$C$18&gt;0),"Next seat","Threshold")</f>
        <v>Next seat</v>
      </c>
    </row>
    <row r="27" customFormat="false" ht="15" hidden="false" customHeight="false" outlineLevel="0" collapsed="false">
      <c r="A27" s="0" t="s">
        <v>50</v>
      </c>
      <c r="B27" s="0" t="n">
        <f aca="false">IF(OR(BS27&gt;=Settings!$B$5,Settings!$C$19&gt;0),BS27,0)</f>
        <v>0.006</v>
      </c>
      <c r="C27" s="0" t="n">
        <f aca="false">$B27/C$1</f>
        <v>0.006</v>
      </c>
      <c r="D27" s="0" t="n">
        <f aca="false">$B27/D$1</f>
        <v>0.002</v>
      </c>
      <c r="E27" s="0" t="n">
        <f aca="false">$B27/E$1</f>
        <v>0.0012</v>
      </c>
      <c r="F27" s="0" t="n">
        <f aca="false">$B27/F$1</f>
        <v>0.000857142857142857</v>
      </c>
      <c r="G27" s="0" t="n">
        <f aca="false">$B27/G$1</f>
        <v>0.000666666666666667</v>
      </c>
      <c r="H27" s="0" t="n">
        <f aca="false">$B27/H$1</f>
        <v>0.000545454545454546</v>
      </c>
      <c r="I27" s="0" t="n">
        <f aca="false">$B27/I$1</f>
        <v>0.000461538461538462</v>
      </c>
      <c r="J27" s="0" t="n">
        <f aca="false">$B27/J$1</f>
        <v>0.0004</v>
      </c>
      <c r="K27" s="0" t="n">
        <f aca="false">$B27/K$1</f>
        <v>0.000352941176470588</v>
      </c>
      <c r="L27" s="0" t="n">
        <f aca="false">$B27/L$1</f>
        <v>0.000315789473684211</v>
      </c>
      <c r="M27" s="0" t="n">
        <f aca="false">$B27/M$1</f>
        <v>0.000285714285714286</v>
      </c>
      <c r="N27" s="0" t="n">
        <f aca="false">$B27/N$1</f>
        <v>0.000260869565217391</v>
      </c>
      <c r="O27" s="0" t="n">
        <f aca="false">$B27/O$1</f>
        <v>0.00024</v>
      </c>
      <c r="P27" s="0" t="n">
        <f aca="false">$B27/P$1</f>
        <v>0.000222222222222222</v>
      </c>
      <c r="Q27" s="0" t="n">
        <f aca="false">$B27/Q$1</f>
        <v>0.000206896551724138</v>
      </c>
      <c r="R27" s="0" t="n">
        <f aca="false">$B27/R$1</f>
        <v>0.000193548387096774</v>
      </c>
      <c r="S27" s="0" t="n">
        <f aca="false">$B27/S$1</f>
        <v>0.000181818181818182</v>
      </c>
      <c r="T27" s="0" t="n">
        <f aca="false">$B27/T$1</f>
        <v>0.000171428571428571</v>
      </c>
      <c r="U27" s="0" t="n">
        <f aca="false">$B27/U$1</f>
        <v>0.000162162162162162</v>
      </c>
      <c r="V27" s="0" t="n">
        <f aca="false">$B27/V$1</f>
        <v>0.000153846153846154</v>
      </c>
      <c r="W27" s="0" t="n">
        <f aca="false">$B27/W$1</f>
        <v>0.000146341463414634</v>
      </c>
      <c r="X27" s="0" t="n">
        <f aca="false">$B27/X$1</f>
        <v>0.00013953488372093</v>
      </c>
      <c r="Y27" s="0" t="n">
        <f aca="false">$B27/Y$1</f>
        <v>0.000133333333333333</v>
      </c>
      <c r="Z27" s="0" t="n">
        <f aca="false">$B27/Z$1</f>
        <v>0.000127659574468085</v>
      </c>
      <c r="AA27" s="0" t="n">
        <f aca="false">$B27/AA$1</f>
        <v>0.000122448979591837</v>
      </c>
      <c r="AB27" s="0" t="n">
        <f aca="false">$B27/AB$1</f>
        <v>0.000117647058823529</v>
      </c>
      <c r="AC27" s="0" t="n">
        <f aca="false">$B27/AC$1</f>
        <v>0.000113207547169811</v>
      </c>
      <c r="AD27" s="0" t="n">
        <f aca="false">$B27/AD$1</f>
        <v>0.000109090909090909</v>
      </c>
      <c r="AE27" s="0" t="n">
        <f aca="false">$B27/AE$1</f>
        <v>0.000105263157894737</v>
      </c>
      <c r="AF27" s="0" t="n">
        <f aca="false">$B27/AF$1</f>
        <v>0.000101694915254237</v>
      </c>
      <c r="AG27" s="0" t="n">
        <f aca="false">$B27/AG$1</f>
        <v>9.83606557377049E-005</v>
      </c>
      <c r="AH27" s="0" t="n">
        <f aca="false">$B27/AH$1</f>
        <v>9.52380952380952E-005</v>
      </c>
      <c r="AI27" s="0" t="n">
        <f aca="false">$B27/AI$1</f>
        <v>9.23076923076923E-005</v>
      </c>
      <c r="AJ27" s="0" t="n">
        <f aca="false">$B27/AJ$1</f>
        <v>8.95522388059702E-005</v>
      </c>
      <c r="AK27" s="0" t="n">
        <f aca="false">$B27/AK$1</f>
        <v>8.69565217391304E-005</v>
      </c>
      <c r="AL27" s="0" t="n">
        <f aca="false">$B27/AL$1</f>
        <v>8.45070422535211E-005</v>
      </c>
      <c r="AM27" s="0" t="n">
        <f aca="false">$B27/AM$1</f>
        <v>8.21917808219178E-005</v>
      </c>
      <c r="AN27" s="0" t="n">
        <f aca="false">$B27/AN$1</f>
        <v>8E-005</v>
      </c>
      <c r="AO27" s="0" t="n">
        <f aca="false">$B27/AO$1</f>
        <v>7.79220779220779E-005</v>
      </c>
      <c r="AP27" s="0" t="n">
        <f aca="false">$B27/AP$1</f>
        <v>7.59493670886076E-005</v>
      </c>
      <c r="AQ27" s="0" t="n">
        <f aca="false">$B27/AQ$1</f>
        <v>7.40740740740741E-005</v>
      </c>
      <c r="AR27" s="0" t="n">
        <f aca="false">$B27/AR$1</f>
        <v>7.2289156626506E-005</v>
      </c>
      <c r="AS27" s="0" t="n">
        <f aca="false">$B27/AS$1</f>
        <v>7.05882352941177E-005</v>
      </c>
      <c r="AT27" s="0" t="n">
        <f aca="false">$B27/AT$1</f>
        <v>6.89655172413793E-005</v>
      </c>
      <c r="AU27" s="0" t="n">
        <f aca="false">$B27/AU$1</f>
        <v>6.74157303370787E-005</v>
      </c>
      <c r="AV27" s="0" t="n">
        <f aca="false">$B27/AV$1</f>
        <v>6.59340659340659E-005</v>
      </c>
      <c r="AW27" s="0" t="n">
        <f aca="false">$B27/AW$1</f>
        <v>6.45161290322581E-005</v>
      </c>
      <c r="AX27" s="0" t="n">
        <f aca="false">$B27/AX$1</f>
        <v>6.31578947368421E-005</v>
      </c>
      <c r="AY27" s="0" t="n">
        <f aca="false">$B27/AY$1</f>
        <v>6.18556701030928E-005</v>
      </c>
      <c r="AZ27" s="0" t="n">
        <f aca="false">$B27/AZ$1</f>
        <v>6.06060606060606E-005</v>
      </c>
      <c r="BA27" s="0" t="n">
        <f aca="false">$B27/BA$1</f>
        <v>5.94059405940594E-005</v>
      </c>
      <c r="BB27" s="0" t="n">
        <f aca="false">$B27/BB$1</f>
        <v>5.8252427184466E-005</v>
      </c>
      <c r="BC27" s="0" t="n">
        <f aca="false">$B27/BC$1</f>
        <v>5.71428571428571E-005</v>
      </c>
      <c r="BD27" s="0" t="n">
        <f aca="false">$B27/BD$1</f>
        <v>5.60747663551402E-005</v>
      </c>
      <c r="BE27" s="0" t="n">
        <f aca="false">$B27/BE$1</f>
        <v>5.5045871559633E-005</v>
      </c>
      <c r="BF27" s="0" t="n">
        <f aca="false">$B27/BF$1</f>
        <v>5.40540540540541E-005</v>
      </c>
      <c r="BG27" s="0" t="n">
        <f aca="false">$B27/BG$1</f>
        <v>5.30973451327434E-005</v>
      </c>
      <c r="BH27" s="0" t="n">
        <f aca="false">$B27/BH$1</f>
        <v>5.21739130434783E-005</v>
      </c>
      <c r="BI27" s="0" t="n">
        <f aca="false">$B27/BI$1</f>
        <v>5.12820512820513E-005</v>
      </c>
      <c r="BJ27" s="0" t="n">
        <f aca="false">$B27/BJ$1</f>
        <v>5.04201680672269E-005</v>
      </c>
      <c r="BL27" s="0" t="n">
        <f aca="false">IF($B$21=1,COUNTIF(C27:BJ27,"&gt;="&amp;$C$21),0)</f>
        <v>1</v>
      </c>
      <c r="BM27" s="0" t="n">
        <f aca="false">IF($B$21=1,IF(OR(BS27&gt;=Settings!$B$5,Settings!$C$19&gt;0),MAX(BL27,Settings!$C$19),0),0)</f>
        <v>4</v>
      </c>
      <c r="BN27" s="0" t="n">
        <f aca="false">IF($B$21=1,IF(OR(BS27&gt;=Settings!$B$5,Settings!$C$19&gt;0),MAX(0,(2*MAX(BL27,Settings!$C$19)+1)*$C$21-BS27),MAX(0,Settings!$B$5-BS27)),"")</f>
        <v>0.0316119402985075</v>
      </c>
      <c r="BO27" s="0" t="str">
        <f aca="false">IF($B$21=1,IF(OR(BS27&gt;=Settings!$B$5,Settings!$C$19&gt;0),IF(BL27&lt;=Settings!$C$19,"Protected by electorates",IF(Settings!$C$19=0,MIN(BS27-(2*BL27-1)*$D$21,BS27-Settings!$B$5),BS27-(2*BL27-1)*$D$21)),""),"")</f>
        <v>Protected by electorates</v>
      </c>
      <c r="BP27" s="0" t="n">
        <f aca="false">IF($B$21=1,IF(OR(BS27&gt;=Settings!$B$5,Settings!$C$19&gt;0),MAX(0,MIN(1,(BS27/$C$21-(2*MAX(BL27,Settings!$C$19)-1))/2)),MIN(1,BS27/Settings!$B$5)),"")</f>
        <v>0</v>
      </c>
      <c r="BQ27" s="0" t="n">
        <f aca="false">IF(AND($B$21=1,COUNTIF(C27:BJ27,$C$21)&gt;0),1,0)</f>
        <v>0</v>
      </c>
      <c r="BR27" s="0" t="n">
        <f aca="false">IF(AND($B$21=1,COUNTIF(C27:BJ27,$D$21)&gt;0),1,0)</f>
        <v>0</v>
      </c>
      <c r="BS27" s="0" t="n">
        <f aca="false">N(IF(Polls!M8="",Polls!M37,Polls!M8))</f>
        <v>0.006</v>
      </c>
      <c r="BT27" s="0" t="str">
        <f aca="false">IF(OR(BS27&gt;=Settings!$B$5,Settings!$C$19&gt;0),"Next seat","Threshold")</f>
        <v>Next seat</v>
      </c>
    </row>
    <row r="28" customFormat="false" ht="15" hidden="false" customHeight="false" outlineLevel="0" collapsed="false">
      <c r="A28" s="0" t="s">
        <v>52</v>
      </c>
      <c r="B28" s="0" t="n">
        <f aca="false">IF(OR(BS28&gt;=Settings!$B$5,Settings!$C$20&gt;0),BS28,0)</f>
        <v>0.07</v>
      </c>
      <c r="C28" s="0" t="n">
        <f aca="false">$B28/C$1</f>
        <v>0.07</v>
      </c>
      <c r="D28" s="0" t="n">
        <f aca="false">$B28/D$1</f>
        <v>0.0233333333333333</v>
      </c>
      <c r="E28" s="0" t="n">
        <f aca="false">$B28/E$1</f>
        <v>0.014</v>
      </c>
      <c r="F28" s="0" t="n">
        <f aca="false">$B28/F$1</f>
        <v>0.01</v>
      </c>
      <c r="G28" s="0" t="n">
        <f aca="false">$B28/G$1</f>
        <v>0.00777777777777778</v>
      </c>
      <c r="H28" s="0" t="n">
        <f aca="false">$B28/H$1</f>
        <v>0.00636363636363636</v>
      </c>
      <c r="I28" s="0" t="n">
        <f aca="false">$B28/I$1</f>
        <v>0.00538461538461539</v>
      </c>
      <c r="J28" s="0" t="n">
        <f aca="false">$B28/J$1</f>
        <v>0.00466666666666667</v>
      </c>
      <c r="K28" s="0" t="n">
        <f aca="false">$B28/K$1</f>
        <v>0.00411764705882353</v>
      </c>
      <c r="L28" s="0" t="n">
        <f aca="false">$B28/L$1</f>
        <v>0.00368421052631579</v>
      </c>
      <c r="M28" s="0" t="n">
        <f aca="false">$B28/M$1</f>
        <v>0.00333333333333333</v>
      </c>
      <c r="N28" s="0" t="n">
        <f aca="false">$B28/N$1</f>
        <v>0.00304347826086957</v>
      </c>
      <c r="O28" s="0" t="n">
        <f aca="false">$B28/O$1</f>
        <v>0.0028</v>
      </c>
      <c r="P28" s="0" t="n">
        <f aca="false">$B28/P$1</f>
        <v>0.00259259259259259</v>
      </c>
      <c r="Q28" s="0" t="n">
        <f aca="false">$B28/Q$1</f>
        <v>0.00241379310344828</v>
      </c>
      <c r="R28" s="0" t="n">
        <f aca="false">$B28/R$1</f>
        <v>0.00225806451612903</v>
      </c>
      <c r="S28" s="0" t="n">
        <f aca="false">$B28/S$1</f>
        <v>0.00212121212121212</v>
      </c>
      <c r="T28" s="0" t="n">
        <f aca="false">$B28/T$1</f>
        <v>0.002</v>
      </c>
      <c r="U28" s="0" t="n">
        <f aca="false">$B28/U$1</f>
        <v>0.00189189189189189</v>
      </c>
      <c r="V28" s="0" t="n">
        <f aca="false">$B28/V$1</f>
        <v>0.0017948717948718</v>
      </c>
      <c r="W28" s="0" t="n">
        <f aca="false">$B28/W$1</f>
        <v>0.00170731707317073</v>
      </c>
      <c r="X28" s="0" t="n">
        <f aca="false">$B28/X$1</f>
        <v>0.00162790697674419</v>
      </c>
      <c r="Y28" s="0" t="n">
        <f aca="false">$B28/Y$1</f>
        <v>0.00155555555555556</v>
      </c>
      <c r="Z28" s="0" t="n">
        <f aca="false">$B28/Z$1</f>
        <v>0.00148936170212766</v>
      </c>
      <c r="AA28" s="0" t="n">
        <f aca="false">$B28/AA$1</f>
        <v>0.00142857142857143</v>
      </c>
      <c r="AB28" s="0" t="n">
        <f aca="false">$B28/AB$1</f>
        <v>0.00137254901960784</v>
      </c>
      <c r="AC28" s="0" t="n">
        <f aca="false">$B28/AC$1</f>
        <v>0.00132075471698113</v>
      </c>
      <c r="AD28" s="0" t="n">
        <f aca="false">$B28/AD$1</f>
        <v>0.00127272727272727</v>
      </c>
      <c r="AE28" s="0" t="n">
        <f aca="false">$B28/AE$1</f>
        <v>0.0012280701754386</v>
      </c>
      <c r="AF28" s="0" t="n">
        <f aca="false">$B28/AF$1</f>
        <v>0.0011864406779661</v>
      </c>
      <c r="AG28" s="0" t="n">
        <f aca="false">$B28/AG$1</f>
        <v>0.00114754098360656</v>
      </c>
      <c r="AH28" s="0" t="n">
        <f aca="false">$B28/AH$1</f>
        <v>0.00111111111111111</v>
      </c>
      <c r="AI28" s="0" t="n">
        <f aca="false">$B28/AI$1</f>
        <v>0.00107692307692308</v>
      </c>
      <c r="AJ28" s="0" t="n">
        <f aca="false">$B28/AJ$1</f>
        <v>0.00104477611940299</v>
      </c>
      <c r="AK28" s="0" t="n">
        <f aca="false">$B28/AK$1</f>
        <v>0.00101449275362319</v>
      </c>
      <c r="AL28" s="0" t="n">
        <f aca="false">$B28/AL$1</f>
        <v>0.000985915492957747</v>
      </c>
      <c r="AM28" s="0" t="n">
        <f aca="false">$B28/AM$1</f>
        <v>0.000958904109589041</v>
      </c>
      <c r="AN28" s="0" t="n">
        <f aca="false">$B28/AN$1</f>
        <v>0.000933333333333333</v>
      </c>
      <c r="AO28" s="0" t="n">
        <f aca="false">$B28/AO$1</f>
        <v>0.000909090909090909</v>
      </c>
      <c r="AP28" s="0" t="n">
        <f aca="false">$B28/AP$1</f>
        <v>0.000886075949367089</v>
      </c>
      <c r="AQ28" s="0" t="n">
        <f aca="false">$B28/AQ$1</f>
        <v>0.000864197530864198</v>
      </c>
      <c r="AR28" s="0" t="n">
        <f aca="false">$B28/AR$1</f>
        <v>0.000843373493975904</v>
      </c>
      <c r="AS28" s="0" t="n">
        <f aca="false">$B28/AS$1</f>
        <v>0.000823529411764706</v>
      </c>
      <c r="AT28" s="0" t="n">
        <f aca="false">$B28/AT$1</f>
        <v>0.000804597701149425</v>
      </c>
      <c r="AU28" s="0" t="n">
        <f aca="false">$B28/AU$1</f>
        <v>0.000786516853932584</v>
      </c>
      <c r="AV28" s="0" t="n">
        <f aca="false">$B28/AV$1</f>
        <v>0.000769230769230769</v>
      </c>
      <c r="AW28" s="0" t="n">
        <f aca="false">$B28/AW$1</f>
        <v>0.000752688172043011</v>
      </c>
      <c r="AX28" s="0" t="n">
        <f aca="false">$B28/AX$1</f>
        <v>0.000736842105263158</v>
      </c>
      <c r="AY28" s="0" t="n">
        <f aca="false">$B28/AY$1</f>
        <v>0.000721649484536083</v>
      </c>
      <c r="AZ28" s="0" t="n">
        <f aca="false">$B28/AZ$1</f>
        <v>0.000707070707070707</v>
      </c>
      <c r="BA28" s="0" t="n">
        <f aca="false">$B28/BA$1</f>
        <v>0.000693069306930693</v>
      </c>
      <c r="BB28" s="0" t="n">
        <f aca="false">$B28/BB$1</f>
        <v>0.000679611650485437</v>
      </c>
      <c r="BC28" s="0" t="n">
        <f aca="false">$B28/BC$1</f>
        <v>0.000666666666666667</v>
      </c>
      <c r="BD28" s="0" t="n">
        <f aca="false">$B28/BD$1</f>
        <v>0.000654205607476636</v>
      </c>
      <c r="BE28" s="0" t="n">
        <f aca="false">$B28/BE$1</f>
        <v>0.000642201834862385</v>
      </c>
      <c r="BF28" s="0" t="n">
        <f aca="false">$B28/BF$1</f>
        <v>0.000630630630630631</v>
      </c>
      <c r="BG28" s="0" t="n">
        <f aca="false">$B28/BG$1</f>
        <v>0.000619469026548673</v>
      </c>
      <c r="BH28" s="0" t="n">
        <f aca="false">$B28/BH$1</f>
        <v>0.000608695652173913</v>
      </c>
      <c r="BI28" s="0" t="n">
        <f aca="false">$B28/BI$1</f>
        <v>0.000598290598290598</v>
      </c>
      <c r="BJ28" s="0" t="n">
        <f aca="false">$B28/BJ$1</f>
        <v>0.000588235294117647</v>
      </c>
      <c r="BL28" s="0" t="n">
        <f aca="false">IF($B$21=1,COUNTIF(C28:BJ28,"&gt;="&amp;$C$21),0)</f>
        <v>8</v>
      </c>
      <c r="BM28" s="0" t="n">
        <f aca="false">IF($B$21=1,IF(OR(BS28&gt;=Settings!$B$5,Settings!$C$20&gt;0),MAX(BL28,Settings!$C$20),0),0)</f>
        <v>8</v>
      </c>
      <c r="BN28" s="0" t="n">
        <f aca="false">IF($B$21=1,IF(OR(BS28&gt;=Settings!$B$5,Settings!$C$20&gt;0),MAX(0,(2*MAX(BL28,Settings!$C$20)+1)*$C$21-BS28),MAX(0,Settings!$B$5-BS28)),"")</f>
        <v>0.00104477611940298</v>
      </c>
      <c r="BO28" s="0" t="n">
        <f aca="false">IF($B$21=1,IF(OR(BS28&gt;=Settings!$B$5,Settings!$C$20&gt;0),IF(BL28&lt;=Settings!$C$20,"Protected by electorates",IF(Settings!$C$20=0,MIN(BS28-(2*BL28-1)*$D$21,BS28-Settings!$B$5),BS28-(2*BL28-1)*$D$21)),""),"")</f>
        <v>0.00823529411764706</v>
      </c>
      <c r="BP28" s="0" t="n">
        <f aca="false">IF($B$21=1,IF(OR(BS28&gt;=Settings!$B$5,Settings!$C$20&gt;0),MAX(0,MIN(1,(BS28/$C$21-(2*MAX(BL28,Settings!$C$20)-1))/2)),MIN(1,BS28/Settings!$B$5)),"")</f>
        <v>0.875</v>
      </c>
      <c r="BQ28" s="0" t="n">
        <f aca="false">IF(AND($B$21=1,COUNTIF(C28:BJ28,$C$21)&gt;0),1,0)</f>
        <v>0</v>
      </c>
      <c r="BR28" s="0" t="n">
        <f aca="false">IF(AND($B$21=1,COUNTIF(C28:BJ28,$D$21)&gt;0),1,0)</f>
        <v>1</v>
      </c>
      <c r="BS28" s="0" t="n">
        <f aca="false">N(IF(Polls!N8="",Polls!N37,Polls!N8))</f>
        <v>0.07</v>
      </c>
      <c r="BT28" s="0" t="str">
        <f aca="false">IF(OR(BS28&gt;=Settings!$B$5,Settings!$C$20&gt;0),"Next seat","Threshold")</f>
        <v>Next seat</v>
      </c>
    </row>
    <row r="30" customFormat="false" ht="15" hidden="false" customHeight="false" outlineLevel="0" collapsed="false">
      <c r="A30" s="41" t="str">
        <f aca="false">Polls!A9</f>
        <v>Reid Oct</v>
      </c>
      <c r="B30" s="17" t="n">
        <f aca="false">IF(SUM(BS31:BS37)&gt;0,1,0)</f>
        <v>1</v>
      </c>
      <c r="C30" s="17" t="n">
        <f aca="false">IF(B30=1,LARGE(C31:BJ37,Settings!$B$4),0)</f>
        <v>0.00411111111111111</v>
      </c>
      <c r="D30" s="17" t="n">
        <f aca="false">IF(B30=1,LARGE(C31:BJ37,Settings!$B$4+1),0)</f>
        <v>0.00410666666666667</v>
      </c>
      <c r="E30" s="0" t="str">
        <f aca="false">IF(B30=1,IFERROR(INDEX(A31:A37,MATCH(1,BQ31:BQ37,0)),""),"")</f>
        <v>NAT</v>
      </c>
      <c r="F30" s="0" t="str">
        <f aca="false">IF(B30=1,IFERROR(INDEX(A31:A37,MATCH(1,BR31:BR37,0)),""),"")</f>
        <v>LAB</v>
      </c>
      <c r="G30" s="17" t="n">
        <f aca="false">IF(B30=1,SUM(BM31:BM37)+Settings!$B$10,"")</f>
        <v>122</v>
      </c>
    </row>
    <row r="31" customFormat="false" ht="15" hidden="false" customHeight="false" outlineLevel="0" collapsed="false">
      <c r="A31" s="0" t="s">
        <v>41</v>
      </c>
      <c r="B31" s="0" t="n">
        <f aca="false">IF(OR(BS31&gt;=Settings!$B$5,Settings!$C$14&gt;0),BS31,0)</f>
        <v>0.259</v>
      </c>
      <c r="C31" s="0" t="n">
        <f aca="false">$B31/C$1</f>
        <v>0.259</v>
      </c>
      <c r="D31" s="0" t="n">
        <f aca="false">$B31/D$1</f>
        <v>0.0863333333333333</v>
      </c>
      <c r="E31" s="0" t="n">
        <f aca="false">$B31/E$1</f>
        <v>0.0518</v>
      </c>
      <c r="F31" s="0" t="n">
        <f aca="false">$B31/F$1</f>
        <v>0.037</v>
      </c>
      <c r="G31" s="0" t="n">
        <f aca="false">$B31/G$1</f>
        <v>0.0287777777777778</v>
      </c>
      <c r="H31" s="0" t="n">
        <f aca="false">$B31/H$1</f>
        <v>0.0235454545454545</v>
      </c>
      <c r="I31" s="0" t="n">
        <f aca="false">$B31/I$1</f>
        <v>0.0199230769230769</v>
      </c>
      <c r="J31" s="0" t="n">
        <f aca="false">$B31/J$1</f>
        <v>0.0172666666666667</v>
      </c>
      <c r="K31" s="0" t="n">
        <f aca="false">$B31/K$1</f>
        <v>0.0152352941176471</v>
      </c>
      <c r="L31" s="0" t="n">
        <f aca="false">$B31/L$1</f>
        <v>0.0136315789473684</v>
      </c>
      <c r="M31" s="0" t="n">
        <f aca="false">$B31/M$1</f>
        <v>0.0123333333333333</v>
      </c>
      <c r="N31" s="0" t="n">
        <f aca="false">$B31/N$1</f>
        <v>0.0112608695652174</v>
      </c>
      <c r="O31" s="0" t="n">
        <f aca="false">$B31/O$1</f>
        <v>0.01036</v>
      </c>
      <c r="P31" s="0" t="n">
        <f aca="false">$B31/P$1</f>
        <v>0.00959259259259259</v>
      </c>
      <c r="Q31" s="0" t="n">
        <f aca="false">$B31/Q$1</f>
        <v>0.00893103448275862</v>
      </c>
      <c r="R31" s="0" t="n">
        <f aca="false">$B31/R$1</f>
        <v>0.00835483870967742</v>
      </c>
      <c r="S31" s="0" t="n">
        <f aca="false">$B31/S$1</f>
        <v>0.00784848484848485</v>
      </c>
      <c r="T31" s="0" t="n">
        <f aca="false">$B31/T$1</f>
        <v>0.0074</v>
      </c>
      <c r="U31" s="0" t="n">
        <f aca="false">$B31/U$1</f>
        <v>0.007</v>
      </c>
      <c r="V31" s="0" t="n">
        <f aca="false">$B31/V$1</f>
        <v>0.00664102564102564</v>
      </c>
      <c r="W31" s="0" t="n">
        <f aca="false">$B31/W$1</f>
        <v>0.00631707317073171</v>
      </c>
      <c r="X31" s="0" t="n">
        <f aca="false">$B31/X$1</f>
        <v>0.00602325581395349</v>
      </c>
      <c r="Y31" s="0" t="n">
        <f aca="false">$B31/Y$1</f>
        <v>0.00575555555555556</v>
      </c>
      <c r="Z31" s="0" t="n">
        <f aca="false">$B31/Z$1</f>
        <v>0.00551063829787234</v>
      </c>
      <c r="AA31" s="0" t="n">
        <f aca="false">$B31/AA$1</f>
        <v>0.00528571428571429</v>
      </c>
      <c r="AB31" s="0" t="n">
        <f aca="false">$B31/AB$1</f>
        <v>0.00507843137254902</v>
      </c>
      <c r="AC31" s="0" t="n">
        <f aca="false">$B31/AC$1</f>
        <v>0.00488679245283019</v>
      </c>
      <c r="AD31" s="0" t="n">
        <f aca="false">$B31/AD$1</f>
        <v>0.00470909090909091</v>
      </c>
      <c r="AE31" s="0" t="n">
        <f aca="false">$B31/AE$1</f>
        <v>0.00454385964912281</v>
      </c>
      <c r="AF31" s="0" t="n">
        <f aca="false">$B31/AF$1</f>
        <v>0.00438983050847458</v>
      </c>
      <c r="AG31" s="0" t="n">
        <f aca="false">$B31/AG$1</f>
        <v>0.00424590163934426</v>
      </c>
      <c r="AH31" s="0" t="n">
        <f aca="false">$B31/AH$1</f>
        <v>0.00411111111111111</v>
      </c>
      <c r="AI31" s="0" t="n">
        <f aca="false">$B31/AI$1</f>
        <v>0.00398461538461539</v>
      </c>
      <c r="AJ31" s="0" t="n">
        <f aca="false">$B31/AJ$1</f>
        <v>0.00386567164179105</v>
      </c>
      <c r="AK31" s="0" t="n">
        <f aca="false">$B31/AK$1</f>
        <v>0.0037536231884058</v>
      </c>
      <c r="AL31" s="0" t="n">
        <f aca="false">$B31/AL$1</f>
        <v>0.00364788732394366</v>
      </c>
      <c r="AM31" s="0" t="n">
        <f aca="false">$B31/AM$1</f>
        <v>0.00354794520547945</v>
      </c>
      <c r="AN31" s="0" t="n">
        <f aca="false">$B31/AN$1</f>
        <v>0.00345333333333333</v>
      </c>
      <c r="AO31" s="0" t="n">
        <f aca="false">$B31/AO$1</f>
        <v>0.00336363636363636</v>
      </c>
      <c r="AP31" s="0" t="n">
        <f aca="false">$B31/AP$1</f>
        <v>0.00327848101265823</v>
      </c>
      <c r="AQ31" s="0" t="n">
        <f aca="false">$B31/AQ$1</f>
        <v>0.00319753086419753</v>
      </c>
      <c r="AR31" s="0" t="n">
        <f aca="false">$B31/AR$1</f>
        <v>0.00312048192771084</v>
      </c>
      <c r="AS31" s="0" t="n">
        <f aca="false">$B31/AS$1</f>
        <v>0.00304705882352941</v>
      </c>
      <c r="AT31" s="0" t="n">
        <f aca="false">$B31/AT$1</f>
        <v>0.00297701149425287</v>
      </c>
      <c r="AU31" s="0" t="n">
        <f aca="false">$B31/AU$1</f>
        <v>0.00291011235955056</v>
      </c>
      <c r="AV31" s="0" t="n">
        <f aca="false">$B31/AV$1</f>
        <v>0.00284615384615385</v>
      </c>
      <c r="AW31" s="0" t="n">
        <f aca="false">$B31/AW$1</f>
        <v>0.00278494623655914</v>
      </c>
      <c r="AX31" s="0" t="n">
        <f aca="false">$B31/AX$1</f>
        <v>0.00272631578947368</v>
      </c>
      <c r="AY31" s="0" t="n">
        <f aca="false">$B31/AY$1</f>
        <v>0.00267010309278351</v>
      </c>
      <c r="AZ31" s="0" t="n">
        <f aca="false">$B31/AZ$1</f>
        <v>0.00261616161616162</v>
      </c>
      <c r="BA31" s="0" t="n">
        <f aca="false">$B31/BA$1</f>
        <v>0.00256435643564356</v>
      </c>
      <c r="BB31" s="0" t="n">
        <f aca="false">$B31/BB$1</f>
        <v>0.00251456310679612</v>
      </c>
      <c r="BC31" s="0" t="n">
        <f aca="false">$B31/BC$1</f>
        <v>0.00246666666666667</v>
      </c>
      <c r="BD31" s="0" t="n">
        <f aca="false">$B31/BD$1</f>
        <v>0.00242056074766355</v>
      </c>
      <c r="BE31" s="0" t="n">
        <f aca="false">$B31/BE$1</f>
        <v>0.00237614678899083</v>
      </c>
      <c r="BF31" s="0" t="n">
        <f aca="false">$B31/BF$1</f>
        <v>0.00233333333333333</v>
      </c>
      <c r="BG31" s="0" t="n">
        <f aca="false">$B31/BG$1</f>
        <v>0.00229203539823009</v>
      </c>
      <c r="BH31" s="0" t="n">
        <f aca="false">$B31/BH$1</f>
        <v>0.00225217391304348</v>
      </c>
      <c r="BI31" s="0" t="n">
        <f aca="false">$B31/BI$1</f>
        <v>0.00221367521367521</v>
      </c>
      <c r="BJ31" s="0" t="n">
        <f aca="false">$B31/BJ$1</f>
        <v>0.00217647058823529</v>
      </c>
      <c r="BL31" s="0" t="n">
        <f aca="false">IF($B$30=1,COUNTIF(C31:BJ31,"&gt;="&amp;$C$30),0)</f>
        <v>32</v>
      </c>
      <c r="BM31" s="0" t="n">
        <f aca="false">IF($B$30=1,IF(OR(BS31&gt;=Settings!$B$5,Settings!$C$14&gt;0),MAX(BL31,Settings!$C$14),0),0)</f>
        <v>32</v>
      </c>
      <c r="BN31" s="0" t="n">
        <f aca="false">IF($B$30=1,IF(OR(BS31&gt;=Settings!$B$5,Settings!$C$14&gt;0),MAX(0,(2*MAX(BL31,Settings!$C$14)+1)*$C$30-BS31),MAX(0,Settings!$B$5-BS31)),"")</f>
        <v>0.00822222222222224</v>
      </c>
      <c r="BO31" s="0" t="n">
        <f aca="false">IF($B$30=1,IF(OR(BS31&gt;=Settings!$B$5,Settings!$C$14&gt;0),IF(BL31&lt;=Settings!$C$14,"Protected by electorates",IF(Settings!$C$14=0,MIN(BS31-(2*BL31-1)*$D$30,BS31-Settings!$B$5),BS31-(2*BL31-1)*$D$30)),""),"")</f>
        <v>0.000280000000000002</v>
      </c>
      <c r="BP31" s="0" t="n">
        <f aca="false">IF($B$30=1,IF(OR(BS31&gt;=Settings!$B$5,Settings!$C$14&gt;0),MAX(0,MIN(1,(BS31/$C$30-(2*MAX(BL31,Settings!$C$14)-1))/2)),MIN(1,BS31/Settings!$B$5)),"")</f>
        <v>0</v>
      </c>
      <c r="BQ31" s="0" t="n">
        <f aca="false">IF(AND($B$30=1,COUNTIF(C31:BJ31,$C$30)&gt;0),1,0)</f>
        <v>1</v>
      </c>
      <c r="BR31" s="0" t="n">
        <f aca="false">IF(AND($B$30=1,COUNTIF(C31:BJ31,$D$30)&gt;0),1,0)</f>
        <v>0</v>
      </c>
      <c r="BS31" s="0" t="n">
        <f aca="false">N(IF(Polls!H9="",Polls!H37,Polls!H9))</f>
        <v>0.259</v>
      </c>
      <c r="BT31" s="0" t="str">
        <f aca="false">IF(OR(BS31&gt;=Settings!$B$5,Settings!$C$14&gt;0),"Next seat","Threshold")</f>
        <v>Next seat</v>
      </c>
    </row>
    <row r="32" customFormat="false" ht="15" hidden="false" customHeight="false" outlineLevel="0" collapsed="false">
      <c r="A32" s="0" t="s">
        <v>43</v>
      </c>
      <c r="B32" s="0" t="n">
        <f aca="false">IF(OR(BS32&gt;=Settings!$B$5,Settings!$C$15&gt;0),BS32,0)</f>
        <v>0.308</v>
      </c>
      <c r="C32" s="0" t="n">
        <f aca="false">$B32/C$1</f>
        <v>0.308</v>
      </c>
      <c r="D32" s="0" t="n">
        <f aca="false">$B32/D$1</f>
        <v>0.102666666666667</v>
      </c>
      <c r="E32" s="0" t="n">
        <f aca="false">$B32/E$1</f>
        <v>0.0616</v>
      </c>
      <c r="F32" s="0" t="n">
        <f aca="false">$B32/F$1</f>
        <v>0.044</v>
      </c>
      <c r="G32" s="0" t="n">
        <f aca="false">$B32/G$1</f>
        <v>0.0342222222222222</v>
      </c>
      <c r="H32" s="0" t="n">
        <f aca="false">$B32/H$1</f>
        <v>0.028</v>
      </c>
      <c r="I32" s="0" t="n">
        <f aca="false">$B32/I$1</f>
        <v>0.0236923076923077</v>
      </c>
      <c r="J32" s="0" t="n">
        <f aca="false">$B32/J$1</f>
        <v>0.0205333333333333</v>
      </c>
      <c r="K32" s="0" t="n">
        <f aca="false">$B32/K$1</f>
        <v>0.0181176470588235</v>
      </c>
      <c r="L32" s="0" t="n">
        <f aca="false">$B32/L$1</f>
        <v>0.0162105263157895</v>
      </c>
      <c r="M32" s="0" t="n">
        <f aca="false">$B32/M$1</f>
        <v>0.0146666666666667</v>
      </c>
      <c r="N32" s="0" t="n">
        <f aca="false">$B32/N$1</f>
        <v>0.0133913043478261</v>
      </c>
      <c r="O32" s="0" t="n">
        <f aca="false">$B32/O$1</f>
        <v>0.01232</v>
      </c>
      <c r="P32" s="0" t="n">
        <f aca="false">$B32/P$1</f>
        <v>0.0114074074074074</v>
      </c>
      <c r="Q32" s="0" t="n">
        <f aca="false">$B32/Q$1</f>
        <v>0.0106206896551724</v>
      </c>
      <c r="R32" s="0" t="n">
        <f aca="false">$B32/R$1</f>
        <v>0.00993548387096774</v>
      </c>
      <c r="S32" s="0" t="n">
        <f aca="false">$B32/S$1</f>
        <v>0.00933333333333333</v>
      </c>
      <c r="T32" s="0" t="n">
        <f aca="false">$B32/T$1</f>
        <v>0.0088</v>
      </c>
      <c r="U32" s="0" t="n">
        <f aca="false">$B32/U$1</f>
        <v>0.00832432432432432</v>
      </c>
      <c r="V32" s="0" t="n">
        <f aca="false">$B32/V$1</f>
        <v>0.0078974358974359</v>
      </c>
      <c r="W32" s="0" t="n">
        <f aca="false">$B32/W$1</f>
        <v>0.00751219512195122</v>
      </c>
      <c r="X32" s="0" t="n">
        <f aca="false">$B32/X$1</f>
        <v>0.00716279069767442</v>
      </c>
      <c r="Y32" s="0" t="n">
        <f aca="false">$B32/Y$1</f>
        <v>0.00684444444444445</v>
      </c>
      <c r="Z32" s="0" t="n">
        <f aca="false">$B32/Z$1</f>
        <v>0.0065531914893617</v>
      </c>
      <c r="AA32" s="0" t="n">
        <f aca="false">$B32/AA$1</f>
        <v>0.00628571428571429</v>
      </c>
      <c r="AB32" s="0" t="n">
        <f aca="false">$B32/AB$1</f>
        <v>0.00603921568627451</v>
      </c>
      <c r="AC32" s="0" t="n">
        <f aca="false">$B32/AC$1</f>
        <v>0.00581132075471698</v>
      </c>
      <c r="AD32" s="0" t="n">
        <f aca="false">$B32/AD$1</f>
        <v>0.0056</v>
      </c>
      <c r="AE32" s="0" t="n">
        <f aca="false">$B32/AE$1</f>
        <v>0.00540350877192982</v>
      </c>
      <c r="AF32" s="0" t="n">
        <f aca="false">$B32/AF$1</f>
        <v>0.00522033898305085</v>
      </c>
      <c r="AG32" s="0" t="n">
        <f aca="false">$B32/AG$1</f>
        <v>0.00504918032786885</v>
      </c>
      <c r="AH32" s="0" t="n">
        <f aca="false">$B32/AH$1</f>
        <v>0.00488888888888889</v>
      </c>
      <c r="AI32" s="0" t="n">
        <f aca="false">$B32/AI$1</f>
        <v>0.00473846153846154</v>
      </c>
      <c r="AJ32" s="0" t="n">
        <f aca="false">$B32/AJ$1</f>
        <v>0.00459701492537313</v>
      </c>
      <c r="AK32" s="0" t="n">
        <f aca="false">$B32/AK$1</f>
        <v>0.00446376811594203</v>
      </c>
      <c r="AL32" s="0" t="n">
        <f aca="false">$B32/AL$1</f>
        <v>0.00433802816901409</v>
      </c>
      <c r="AM32" s="0" t="n">
        <f aca="false">$B32/AM$1</f>
        <v>0.00421917808219178</v>
      </c>
      <c r="AN32" s="0" t="n">
        <f aca="false">$B32/AN$1</f>
        <v>0.00410666666666667</v>
      </c>
      <c r="AO32" s="0" t="n">
        <f aca="false">$B32/AO$1</f>
        <v>0.004</v>
      </c>
      <c r="AP32" s="0" t="n">
        <f aca="false">$B32/AP$1</f>
        <v>0.00389873417721519</v>
      </c>
      <c r="AQ32" s="0" t="n">
        <f aca="false">$B32/AQ$1</f>
        <v>0.00380246913580247</v>
      </c>
      <c r="AR32" s="0" t="n">
        <f aca="false">$B32/AR$1</f>
        <v>0.00371084337349398</v>
      </c>
      <c r="AS32" s="0" t="n">
        <f aca="false">$B32/AS$1</f>
        <v>0.00362352941176471</v>
      </c>
      <c r="AT32" s="0" t="n">
        <f aca="false">$B32/AT$1</f>
        <v>0.00354022988505747</v>
      </c>
      <c r="AU32" s="0" t="n">
        <f aca="false">$B32/AU$1</f>
        <v>0.00346067415730337</v>
      </c>
      <c r="AV32" s="0" t="n">
        <f aca="false">$B32/AV$1</f>
        <v>0.00338461538461539</v>
      </c>
      <c r="AW32" s="0" t="n">
        <f aca="false">$B32/AW$1</f>
        <v>0.00331182795698925</v>
      </c>
      <c r="AX32" s="0" t="n">
        <f aca="false">$B32/AX$1</f>
        <v>0.00324210526315789</v>
      </c>
      <c r="AY32" s="0" t="n">
        <f aca="false">$B32/AY$1</f>
        <v>0.00317525773195876</v>
      </c>
      <c r="AZ32" s="0" t="n">
        <f aca="false">$B32/AZ$1</f>
        <v>0.00311111111111111</v>
      </c>
      <c r="BA32" s="0" t="n">
        <f aca="false">$B32/BA$1</f>
        <v>0.00304950495049505</v>
      </c>
      <c r="BB32" s="0" t="n">
        <f aca="false">$B32/BB$1</f>
        <v>0.00299029126213592</v>
      </c>
      <c r="BC32" s="0" t="n">
        <f aca="false">$B32/BC$1</f>
        <v>0.00293333333333333</v>
      </c>
      <c r="BD32" s="0" t="n">
        <f aca="false">$B32/BD$1</f>
        <v>0.0028785046728972</v>
      </c>
      <c r="BE32" s="0" t="n">
        <f aca="false">$B32/BE$1</f>
        <v>0.0028256880733945</v>
      </c>
      <c r="BF32" s="0" t="n">
        <f aca="false">$B32/BF$1</f>
        <v>0.00277477477477477</v>
      </c>
      <c r="BG32" s="0" t="n">
        <f aca="false">$B32/BG$1</f>
        <v>0.00272566371681416</v>
      </c>
      <c r="BH32" s="0" t="n">
        <f aca="false">$B32/BH$1</f>
        <v>0.00267826086956522</v>
      </c>
      <c r="BI32" s="0" t="n">
        <f aca="false">$B32/BI$1</f>
        <v>0.00263247863247863</v>
      </c>
      <c r="BJ32" s="0" t="n">
        <f aca="false">$B32/BJ$1</f>
        <v>0.00258823529411765</v>
      </c>
      <c r="BL32" s="0" t="n">
        <f aca="false">IF($B$30=1,COUNTIF(C32:BJ32,"&gt;="&amp;$C$30),0)</f>
        <v>37</v>
      </c>
      <c r="BM32" s="0" t="n">
        <f aca="false">IF($B$30=1,IF(OR(BS32&gt;=Settings!$B$5,Settings!$C$15&gt;0),MAX(BL32,Settings!$C$15),0),0)</f>
        <v>37</v>
      </c>
      <c r="BN32" s="0" t="n">
        <f aca="false">IF($B$30=1,IF(OR(BS32&gt;=Settings!$B$5,Settings!$C$15&gt;0),MAX(0,(2*MAX(BL32,Settings!$C$15)+1)*$C$30-BS32),MAX(0,Settings!$B$5-BS32)),"")</f>
        <v>0.000333333333333352</v>
      </c>
      <c r="BO32" s="0" t="n">
        <f aca="false">IF($B$30=1,IF(OR(BS32&gt;=Settings!$B$5,Settings!$C$15&gt;0),IF(BL32&lt;=Settings!$C$15,"Protected by electorates",IF(Settings!$C$15=0,MIN(BS32-(2*BL32-1)*$D$30,BS32-Settings!$B$5),BS32-(2*BL32-1)*$D$30)),""),"")</f>
        <v>0.00821333333333335</v>
      </c>
      <c r="BP32" s="0" t="n">
        <f aca="false">IF($B$30=1,IF(OR(BS32&gt;=Settings!$B$5,Settings!$C$15&gt;0),MAX(0,MIN(1,(BS32/$C$30-(2*MAX(BL32,Settings!$C$15)-1))/2)),MIN(1,BS32/Settings!$B$5)),"")</f>
        <v>0.95945945945946</v>
      </c>
      <c r="BQ32" s="0" t="n">
        <f aca="false">IF(AND($B$30=1,COUNTIF(C32:BJ32,$C$30)&gt;0),1,0)</f>
        <v>0</v>
      </c>
      <c r="BR32" s="0" t="n">
        <f aca="false">IF(AND($B$30=1,COUNTIF(C32:BJ32,$D$30)&gt;0),1,0)</f>
        <v>1</v>
      </c>
      <c r="BS32" s="0" t="n">
        <f aca="false">N(IF(Polls!I9="",Polls!I37,Polls!I9))</f>
        <v>0.308</v>
      </c>
      <c r="BT32" s="0" t="str">
        <f aca="false">IF(OR(BS32&gt;=Settings!$B$5,Settings!$C$15&gt;0),"Next seat","Threshold")</f>
        <v>Next seat</v>
      </c>
    </row>
    <row r="33" customFormat="false" ht="15" hidden="false" customHeight="false" outlineLevel="0" collapsed="false">
      <c r="A33" s="0" t="s">
        <v>45</v>
      </c>
      <c r="B33" s="0" t="n">
        <f aca="false">IF(OR(BS33&gt;=Settings!$B$5,Settings!$C$16&gt;0),BS33,0)</f>
        <v>0.148</v>
      </c>
      <c r="C33" s="0" t="n">
        <f aca="false">$B33/C$1</f>
        <v>0.148</v>
      </c>
      <c r="D33" s="0" t="n">
        <f aca="false">$B33/D$1</f>
        <v>0.0493333333333333</v>
      </c>
      <c r="E33" s="0" t="n">
        <f aca="false">$B33/E$1</f>
        <v>0.0296</v>
      </c>
      <c r="F33" s="0" t="n">
        <f aca="false">$B33/F$1</f>
        <v>0.0211428571428571</v>
      </c>
      <c r="G33" s="0" t="n">
        <f aca="false">$B33/G$1</f>
        <v>0.0164444444444444</v>
      </c>
      <c r="H33" s="0" t="n">
        <f aca="false">$B33/H$1</f>
        <v>0.0134545454545455</v>
      </c>
      <c r="I33" s="0" t="n">
        <f aca="false">$B33/I$1</f>
        <v>0.0113846153846154</v>
      </c>
      <c r="J33" s="0" t="n">
        <f aca="false">$B33/J$1</f>
        <v>0.00986666666666667</v>
      </c>
      <c r="K33" s="0" t="n">
        <f aca="false">$B33/K$1</f>
        <v>0.00870588235294118</v>
      </c>
      <c r="L33" s="0" t="n">
        <f aca="false">$B33/L$1</f>
        <v>0.00778947368421053</v>
      </c>
      <c r="M33" s="0" t="n">
        <f aca="false">$B33/M$1</f>
        <v>0.00704761904761905</v>
      </c>
      <c r="N33" s="0" t="n">
        <f aca="false">$B33/N$1</f>
        <v>0.00643478260869565</v>
      </c>
      <c r="O33" s="0" t="n">
        <f aca="false">$B33/O$1</f>
        <v>0.00592</v>
      </c>
      <c r="P33" s="0" t="n">
        <f aca="false">$B33/P$1</f>
        <v>0.00548148148148148</v>
      </c>
      <c r="Q33" s="0" t="n">
        <f aca="false">$B33/Q$1</f>
        <v>0.00510344827586207</v>
      </c>
      <c r="R33" s="0" t="n">
        <f aca="false">$B33/R$1</f>
        <v>0.0047741935483871</v>
      </c>
      <c r="S33" s="0" t="n">
        <f aca="false">$B33/S$1</f>
        <v>0.00448484848484849</v>
      </c>
      <c r="T33" s="0" t="n">
        <f aca="false">$B33/T$1</f>
        <v>0.00422857142857143</v>
      </c>
      <c r="U33" s="0" t="n">
        <f aca="false">$B33/U$1</f>
        <v>0.004</v>
      </c>
      <c r="V33" s="0" t="n">
        <f aca="false">$B33/V$1</f>
        <v>0.00379487179487179</v>
      </c>
      <c r="W33" s="0" t="n">
        <f aca="false">$B33/W$1</f>
        <v>0.00360975609756098</v>
      </c>
      <c r="X33" s="0" t="n">
        <f aca="false">$B33/X$1</f>
        <v>0.00344186046511628</v>
      </c>
      <c r="Y33" s="0" t="n">
        <f aca="false">$B33/Y$1</f>
        <v>0.00328888888888889</v>
      </c>
      <c r="Z33" s="0" t="n">
        <f aca="false">$B33/Z$1</f>
        <v>0.00314893617021277</v>
      </c>
      <c r="AA33" s="0" t="n">
        <f aca="false">$B33/AA$1</f>
        <v>0.00302040816326531</v>
      </c>
      <c r="AB33" s="0" t="n">
        <f aca="false">$B33/AB$1</f>
        <v>0.00290196078431373</v>
      </c>
      <c r="AC33" s="0" t="n">
        <f aca="false">$B33/AC$1</f>
        <v>0.00279245283018868</v>
      </c>
      <c r="AD33" s="0" t="n">
        <f aca="false">$B33/AD$1</f>
        <v>0.00269090909090909</v>
      </c>
      <c r="AE33" s="0" t="n">
        <f aca="false">$B33/AE$1</f>
        <v>0.00259649122807018</v>
      </c>
      <c r="AF33" s="0" t="n">
        <f aca="false">$B33/AF$1</f>
        <v>0.00250847457627119</v>
      </c>
      <c r="AG33" s="0" t="n">
        <f aca="false">$B33/AG$1</f>
        <v>0.00242622950819672</v>
      </c>
      <c r="AH33" s="0" t="n">
        <f aca="false">$B33/AH$1</f>
        <v>0.00234920634920635</v>
      </c>
      <c r="AI33" s="0" t="n">
        <f aca="false">$B33/AI$1</f>
        <v>0.00227692307692308</v>
      </c>
      <c r="AJ33" s="0" t="n">
        <f aca="false">$B33/AJ$1</f>
        <v>0.0022089552238806</v>
      </c>
      <c r="AK33" s="0" t="n">
        <f aca="false">$B33/AK$1</f>
        <v>0.00214492753623188</v>
      </c>
      <c r="AL33" s="0" t="n">
        <f aca="false">$B33/AL$1</f>
        <v>0.00208450704225352</v>
      </c>
      <c r="AM33" s="0" t="n">
        <f aca="false">$B33/AM$1</f>
        <v>0.00202739726027397</v>
      </c>
      <c r="AN33" s="0" t="n">
        <f aca="false">$B33/AN$1</f>
        <v>0.00197333333333333</v>
      </c>
      <c r="AO33" s="0" t="n">
        <f aca="false">$B33/AO$1</f>
        <v>0.00192207792207792</v>
      </c>
      <c r="AP33" s="0" t="n">
        <f aca="false">$B33/AP$1</f>
        <v>0.00187341772151899</v>
      </c>
      <c r="AQ33" s="0" t="n">
        <f aca="false">$B33/AQ$1</f>
        <v>0.00182716049382716</v>
      </c>
      <c r="AR33" s="0" t="n">
        <f aca="false">$B33/AR$1</f>
        <v>0.00178313253012048</v>
      </c>
      <c r="AS33" s="0" t="n">
        <f aca="false">$B33/AS$1</f>
        <v>0.00174117647058824</v>
      </c>
      <c r="AT33" s="0" t="n">
        <f aca="false">$B33/AT$1</f>
        <v>0.00170114942528736</v>
      </c>
      <c r="AU33" s="0" t="n">
        <f aca="false">$B33/AU$1</f>
        <v>0.00166292134831461</v>
      </c>
      <c r="AV33" s="0" t="n">
        <f aca="false">$B33/AV$1</f>
        <v>0.00162637362637363</v>
      </c>
      <c r="AW33" s="0" t="n">
        <f aca="false">$B33/AW$1</f>
        <v>0.00159139784946237</v>
      </c>
      <c r="AX33" s="0" t="n">
        <f aca="false">$B33/AX$1</f>
        <v>0.00155789473684211</v>
      </c>
      <c r="AY33" s="0" t="n">
        <f aca="false">$B33/AY$1</f>
        <v>0.00152577319587629</v>
      </c>
      <c r="AZ33" s="0" t="n">
        <f aca="false">$B33/AZ$1</f>
        <v>0.00149494949494949</v>
      </c>
      <c r="BA33" s="0" t="n">
        <f aca="false">$B33/BA$1</f>
        <v>0.00146534653465347</v>
      </c>
      <c r="BB33" s="0" t="n">
        <f aca="false">$B33/BB$1</f>
        <v>0.0014368932038835</v>
      </c>
      <c r="BC33" s="0" t="n">
        <f aca="false">$B33/BC$1</f>
        <v>0.00140952380952381</v>
      </c>
      <c r="BD33" s="0" t="n">
        <f aca="false">$B33/BD$1</f>
        <v>0.00138317757009346</v>
      </c>
      <c r="BE33" s="0" t="n">
        <f aca="false">$B33/BE$1</f>
        <v>0.00135779816513761</v>
      </c>
      <c r="BF33" s="0" t="n">
        <f aca="false">$B33/BF$1</f>
        <v>0.00133333333333333</v>
      </c>
      <c r="BG33" s="0" t="n">
        <f aca="false">$B33/BG$1</f>
        <v>0.00130973451327434</v>
      </c>
      <c r="BH33" s="0" t="n">
        <f aca="false">$B33/BH$1</f>
        <v>0.00128695652173913</v>
      </c>
      <c r="BI33" s="0" t="n">
        <f aca="false">$B33/BI$1</f>
        <v>0.00126495726495726</v>
      </c>
      <c r="BJ33" s="0" t="n">
        <f aca="false">$B33/BJ$1</f>
        <v>0.0012436974789916</v>
      </c>
      <c r="BL33" s="0" t="n">
        <f aca="false">IF($B$30=1,COUNTIF(C33:BJ33,"&gt;="&amp;$C$30),0)</f>
        <v>18</v>
      </c>
      <c r="BM33" s="0" t="n">
        <f aca="false">IF($B$30=1,IF(OR(BS33&gt;=Settings!$B$5,Settings!$C$16&gt;0),MAX(BL33,Settings!$C$16),0),0)</f>
        <v>18</v>
      </c>
      <c r="BN33" s="0" t="n">
        <f aca="false">IF($B$30=1,IF(OR(BS33&gt;=Settings!$B$5,Settings!$C$16&gt;0),MAX(0,(2*MAX(BL33,Settings!$C$16)+1)*$C$30-BS33),MAX(0,Settings!$B$5-BS33)),"")</f>
        <v>0.00411111111111112</v>
      </c>
      <c r="BO33" s="0" t="n">
        <f aca="false">IF($B$30=1,IF(OR(BS33&gt;=Settings!$B$5,Settings!$C$16&gt;0),IF(BL33&lt;=Settings!$C$16,"Protected by electorates",IF(Settings!$C$16=0,MIN(BS33-(2*BL33-1)*$D$30,BS33-Settings!$B$5),BS33-(2*BL33-1)*$D$30)),""),"")</f>
        <v>0.00426666666666667</v>
      </c>
      <c r="BP33" s="0" t="n">
        <f aca="false">IF($B$30=1,IF(OR(BS33&gt;=Settings!$B$5,Settings!$C$16&gt;0),MAX(0,MIN(1,(BS33/$C$30-(2*MAX(BL33,Settings!$C$16)-1))/2)),MIN(1,BS33/Settings!$B$5)),"")</f>
        <v>0.499999999999996</v>
      </c>
      <c r="BQ33" s="0" t="n">
        <f aca="false">IF(AND($B$30=1,COUNTIF(C33:BJ33,$C$30)&gt;0),1,0)</f>
        <v>0</v>
      </c>
      <c r="BR33" s="0" t="n">
        <f aca="false">IF(AND($B$30=1,COUNTIF(C33:BJ33,$D$30)&gt;0),1,0)</f>
        <v>0</v>
      </c>
      <c r="BS33" s="0" t="n">
        <f aca="false">N(IF(Polls!J9="",Polls!J37,Polls!J9))</f>
        <v>0.148</v>
      </c>
      <c r="BT33" s="0" t="str">
        <f aca="false">IF(OR(BS33&gt;=Settings!$B$5,Settings!$C$16&gt;0),"Next seat","Threshold")</f>
        <v>Next seat</v>
      </c>
    </row>
    <row r="34" customFormat="false" ht="15" hidden="false" customHeight="false" outlineLevel="0" collapsed="false">
      <c r="A34" s="0" t="s">
        <v>46</v>
      </c>
      <c r="B34" s="0" t="n">
        <f aca="false">IF(OR(BS34&gt;=Settings!$B$5,Settings!$C$17&gt;0),BS34,0)</f>
        <v>0.09</v>
      </c>
      <c r="C34" s="0" t="n">
        <f aca="false">$B34/C$1</f>
        <v>0.09</v>
      </c>
      <c r="D34" s="0" t="n">
        <f aca="false">$B34/D$1</f>
        <v>0.03</v>
      </c>
      <c r="E34" s="0" t="n">
        <f aca="false">$B34/E$1</f>
        <v>0.018</v>
      </c>
      <c r="F34" s="0" t="n">
        <f aca="false">$B34/F$1</f>
        <v>0.0128571428571429</v>
      </c>
      <c r="G34" s="0" t="n">
        <f aca="false">$B34/G$1</f>
        <v>0.01</v>
      </c>
      <c r="H34" s="0" t="n">
        <f aca="false">$B34/H$1</f>
        <v>0.00818181818181818</v>
      </c>
      <c r="I34" s="0" t="n">
        <f aca="false">$B34/I$1</f>
        <v>0.00692307692307692</v>
      </c>
      <c r="J34" s="0" t="n">
        <f aca="false">$B34/J$1</f>
        <v>0.006</v>
      </c>
      <c r="K34" s="0" t="n">
        <f aca="false">$B34/K$1</f>
        <v>0.00529411764705882</v>
      </c>
      <c r="L34" s="0" t="n">
        <f aca="false">$B34/L$1</f>
        <v>0.00473684210526316</v>
      </c>
      <c r="M34" s="0" t="n">
        <f aca="false">$B34/M$1</f>
        <v>0.00428571428571429</v>
      </c>
      <c r="N34" s="0" t="n">
        <f aca="false">$B34/N$1</f>
        <v>0.00391304347826087</v>
      </c>
      <c r="O34" s="0" t="n">
        <f aca="false">$B34/O$1</f>
        <v>0.0036</v>
      </c>
      <c r="P34" s="0" t="n">
        <f aca="false">$B34/P$1</f>
        <v>0.00333333333333333</v>
      </c>
      <c r="Q34" s="0" t="n">
        <f aca="false">$B34/Q$1</f>
        <v>0.00310344827586207</v>
      </c>
      <c r="R34" s="0" t="n">
        <f aca="false">$B34/R$1</f>
        <v>0.00290322580645161</v>
      </c>
      <c r="S34" s="0" t="n">
        <f aca="false">$B34/S$1</f>
        <v>0.00272727272727273</v>
      </c>
      <c r="T34" s="0" t="n">
        <f aca="false">$B34/T$1</f>
        <v>0.00257142857142857</v>
      </c>
      <c r="U34" s="0" t="n">
        <f aca="false">$B34/U$1</f>
        <v>0.00243243243243243</v>
      </c>
      <c r="V34" s="0" t="n">
        <f aca="false">$B34/V$1</f>
        <v>0.00230769230769231</v>
      </c>
      <c r="W34" s="0" t="n">
        <f aca="false">$B34/W$1</f>
        <v>0.00219512195121951</v>
      </c>
      <c r="X34" s="0" t="n">
        <f aca="false">$B34/X$1</f>
        <v>0.00209302325581395</v>
      </c>
      <c r="Y34" s="0" t="n">
        <f aca="false">$B34/Y$1</f>
        <v>0.002</v>
      </c>
      <c r="Z34" s="0" t="n">
        <f aca="false">$B34/Z$1</f>
        <v>0.00191489361702128</v>
      </c>
      <c r="AA34" s="0" t="n">
        <f aca="false">$B34/AA$1</f>
        <v>0.00183673469387755</v>
      </c>
      <c r="AB34" s="0" t="n">
        <f aca="false">$B34/AB$1</f>
        <v>0.00176470588235294</v>
      </c>
      <c r="AC34" s="0" t="n">
        <f aca="false">$B34/AC$1</f>
        <v>0.00169811320754717</v>
      </c>
      <c r="AD34" s="0" t="n">
        <f aca="false">$B34/AD$1</f>
        <v>0.00163636363636364</v>
      </c>
      <c r="AE34" s="0" t="n">
        <f aca="false">$B34/AE$1</f>
        <v>0.00157894736842105</v>
      </c>
      <c r="AF34" s="0" t="n">
        <f aca="false">$B34/AF$1</f>
        <v>0.00152542372881356</v>
      </c>
      <c r="AG34" s="0" t="n">
        <f aca="false">$B34/AG$1</f>
        <v>0.00147540983606557</v>
      </c>
      <c r="AH34" s="0" t="n">
        <f aca="false">$B34/AH$1</f>
        <v>0.00142857142857143</v>
      </c>
      <c r="AI34" s="0" t="n">
        <f aca="false">$B34/AI$1</f>
        <v>0.00138461538461538</v>
      </c>
      <c r="AJ34" s="0" t="n">
        <f aca="false">$B34/AJ$1</f>
        <v>0.00134328358208955</v>
      </c>
      <c r="AK34" s="0" t="n">
        <f aca="false">$B34/AK$1</f>
        <v>0.00130434782608696</v>
      </c>
      <c r="AL34" s="0" t="n">
        <f aca="false">$B34/AL$1</f>
        <v>0.00126760563380282</v>
      </c>
      <c r="AM34" s="0" t="n">
        <f aca="false">$B34/AM$1</f>
        <v>0.00123287671232877</v>
      </c>
      <c r="AN34" s="0" t="n">
        <f aca="false">$B34/AN$1</f>
        <v>0.0012</v>
      </c>
      <c r="AO34" s="0" t="n">
        <f aca="false">$B34/AO$1</f>
        <v>0.00116883116883117</v>
      </c>
      <c r="AP34" s="0" t="n">
        <f aca="false">$B34/AP$1</f>
        <v>0.00113924050632911</v>
      </c>
      <c r="AQ34" s="0" t="n">
        <f aca="false">$B34/AQ$1</f>
        <v>0.00111111111111111</v>
      </c>
      <c r="AR34" s="0" t="n">
        <f aca="false">$B34/AR$1</f>
        <v>0.00108433734939759</v>
      </c>
      <c r="AS34" s="0" t="n">
        <f aca="false">$B34/AS$1</f>
        <v>0.00105882352941176</v>
      </c>
      <c r="AT34" s="0" t="n">
        <f aca="false">$B34/AT$1</f>
        <v>0.00103448275862069</v>
      </c>
      <c r="AU34" s="0" t="n">
        <f aca="false">$B34/AU$1</f>
        <v>0.00101123595505618</v>
      </c>
      <c r="AV34" s="0" t="n">
        <f aca="false">$B34/AV$1</f>
        <v>0.000989010989010989</v>
      </c>
      <c r="AW34" s="0" t="n">
        <f aca="false">$B34/AW$1</f>
        <v>0.000967741935483871</v>
      </c>
      <c r="AX34" s="0" t="n">
        <f aca="false">$B34/AX$1</f>
        <v>0.000947368421052632</v>
      </c>
      <c r="AY34" s="0" t="n">
        <f aca="false">$B34/AY$1</f>
        <v>0.000927835051546392</v>
      </c>
      <c r="AZ34" s="0" t="n">
        <f aca="false">$B34/AZ$1</f>
        <v>0.000909090909090909</v>
      </c>
      <c r="BA34" s="0" t="n">
        <f aca="false">$B34/BA$1</f>
        <v>0.000891089108910891</v>
      </c>
      <c r="BB34" s="0" t="n">
        <f aca="false">$B34/BB$1</f>
        <v>0.00087378640776699</v>
      </c>
      <c r="BC34" s="0" t="n">
        <f aca="false">$B34/BC$1</f>
        <v>0.000857142857142857</v>
      </c>
      <c r="BD34" s="0" t="n">
        <f aca="false">$B34/BD$1</f>
        <v>0.000841121495327103</v>
      </c>
      <c r="BE34" s="0" t="n">
        <f aca="false">$B34/BE$1</f>
        <v>0.000825688073394495</v>
      </c>
      <c r="BF34" s="0" t="n">
        <f aca="false">$B34/BF$1</f>
        <v>0.000810810810810811</v>
      </c>
      <c r="BG34" s="0" t="n">
        <f aca="false">$B34/BG$1</f>
        <v>0.00079646017699115</v>
      </c>
      <c r="BH34" s="0" t="n">
        <f aca="false">$B34/BH$1</f>
        <v>0.000782608695652174</v>
      </c>
      <c r="BI34" s="0" t="n">
        <f aca="false">$B34/BI$1</f>
        <v>0.000769230769230769</v>
      </c>
      <c r="BJ34" s="0" t="n">
        <f aca="false">$B34/BJ$1</f>
        <v>0.000756302521008403</v>
      </c>
      <c r="BL34" s="0" t="n">
        <f aca="false">IF($B$30=1,COUNTIF(C34:BJ34,"&gt;="&amp;$C$30),0)</f>
        <v>11</v>
      </c>
      <c r="BM34" s="0" t="n">
        <f aca="false">IF($B$30=1,IF(OR(BS34&gt;=Settings!$B$5,Settings!$C$17&gt;0),MAX(BL34,Settings!$C$17),0),0)</f>
        <v>11</v>
      </c>
      <c r="BN34" s="0" t="n">
        <f aca="false">IF($B$30=1,IF(OR(BS34&gt;=Settings!$B$5,Settings!$C$17&gt;0),MAX(0,(2*MAX(BL34,Settings!$C$17)+1)*$C$30-BS34),MAX(0,Settings!$B$5-BS34)),"")</f>
        <v>0.00455555555555556</v>
      </c>
      <c r="BO34" s="0" t="n">
        <f aca="false">IF($B$30=1,IF(OR(BS34&gt;=Settings!$B$5,Settings!$C$17&gt;0),IF(BL34&lt;=Settings!$C$17,"Protected by electorates",IF(Settings!$C$17=0,MIN(BS34-(2*BL34-1)*$D$30,BS34-Settings!$B$5),BS34-(2*BL34-1)*$D$30)),""),"")</f>
        <v>0.00376</v>
      </c>
      <c r="BP34" s="0" t="n">
        <f aca="false">IF($B$30=1,IF(OR(BS34&gt;=Settings!$B$5,Settings!$C$17&gt;0),MAX(0,MIN(1,(BS34/$C$30-(2*MAX(BL34,Settings!$C$17)-1))/2)),MIN(1,BS34/Settings!$B$5)),"")</f>
        <v>0.445945945945946</v>
      </c>
      <c r="BQ34" s="0" t="n">
        <f aca="false">IF(AND($B$30=1,COUNTIF(C34:BJ34,$C$30)&gt;0),1,0)</f>
        <v>0</v>
      </c>
      <c r="BR34" s="0" t="n">
        <f aca="false">IF(AND($B$30=1,COUNTIF(C34:BJ34,$D$30)&gt;0),1,0)</f>
        <v>0</v>
      </c>
      <c r="BS34" s="0" t="n">
        <f aca="false">N(IF(Polls!K9="",Polls!K37,Polls!K9))</f>
        <v>0.09</v>
      </c>
      <c r="BT34" s="0" t="str">
        <f aca="false">IF(OR(BS34&gt;=Settings!$B$5,Settings!$C$17&gt;0),"Next seat","Threshold")</f>
        <v>Next seat</v>
      </c>
    </row>
    <row r="35" customFormat="false" ht="15" hidden="false" customHeight="false" outlineLevel="0" collapsed="false">
      <c r="A35" s="0" t="s">
        <v>48</v>
      </c>
      <c r="B35" s="0" t="n">
        <f aca="false">IF(OR(BS35&gt;=Settings!$B$5,Settings!$C$18&gt;0),BS35,0)</f>
        <v>0.106</v>
      </c>
      <c r="C35" s="0" t="n">
        <f aca="false">$B35/C$1</f>
        <v>0.106</v>
      </c>
      <c r="D35" s="0" t="n">
        <f aca="false">$B35/D$1</f>
        <v>0.0353333333333333</v>
      </c>
      <c r="E35" s="0" t="n">
        <f aca="false">$B35/E$1</f>
        <v>0.0212</v>
      </c>
      <c r="F35" s="0" t="n">
        <f aca="false">$B35/F$1</f>
        <v>0.0151428571428571</v>
      </c>
      <c r="G35" s="0" t="n">
        <f aca="false">$B35/G$1</f>
        <v>0.0117777777777778</v>
      </c>
      <c r="H35" s="0" t="n">
        <f aca="false">$B35/H$1</f>
        <v>0.00963636363636364</v>
      </c>
      <c r="I35" s="0" t="n">
        <f aca="false">$B35/I$1</f>
        <v>0.00815384615384615</v>
      </c>
      <c r="J35" s="0" t="n">
        <f aca="false">$B35/J$1</f>
        <v>0.00706666666666667</v>
      </c>
      <c r="K35" s="0" t="n">
        <f aca="false">$B35/K$1</f>
        <v>0.00623529411764706</v>
      </c>
      <c r="L35" s="0" t="n">
        <f aca="false">$B35/L$1</f>
        <v>0.00557894736842105</v>
      </c>
      <c r="M35" s="0" t="n">
        <f aca="false">$B35/M$1</f>
        <v>0.00504761904761905</v>
      </c>
      <c r="N35" s="0" t="n">
        <f aca="false">$B35/N$1</f>
        <v>0.00460869565217391</v>
      </c>
      <c r="O35" s="0" t="n">
        <f aca="false">$B35/O$1</f>
        <v>0.00424</v>
      </c>
      <c r="P35" s="0" t="n">
        <f aca="false">$B35/P$1</f>
        <v>0.00392592592592593</v>
      </c>
      <c r="Q35" s="0" t="n">
        <f aca="false">$B35/Q$1</f>
        <v>0.0036551724137931</v>
      </c>
      <c r="R35" s="0" t="n">
        <f aca="false">$B35/R$1</f>
        <v>0.00341935483870968</v>
      </c>
      <c r="S35" s="0" t="n">
        <f aca="false">$B35/S$1</f>
        <v>0.00321212121212121</v>
      </c>
      <c r="T35" s="0" t="n">
        <f aca="false">$B35/T$1</f>
        <v>0.00302857142857143</v>
      </c>
      <c r="U35" s="0" t="n">
        <f aca="false">$B35/U$1</f>
        <v>0.00286486486486486</v>
      </c>
      <c r="V35" s="0" t="n">
        <f aca="false">$B35/V$1</f>
        <v>0.00271794871794872</v>
      </c>
      <c r="W35" s="0" t="n">
        <f aca="false">$B35/W$1</f>
        <v>0.00258536585365854</v>
      </c>
      <c r="X35" s="0" t="n">
        <f aca="false">$B35/X$1</f>
        <v>0.00246511627906977</v>
      </c>
      <c r="Y35" s="0" t="n">
        <f aca="false">$B35/Y$1</f>
        <v>0.00235555555555556</v>
      </c>
      <c r="Z35" s="0" t="n">
        <f aca="false">$B35/Z$1</f>
        <v>0.00225531914893617</v>
      </c>
      <c r="AA35" s="0" t="n">
        <f aca="false">$B35/AA$1</f>
        <v>0.00216326530612245</v>
      </c>
      <c r="AB35" s="0" t="n">
        <f aca="false">$B35/AB$1</f>
        <v>0.00207843137254902</v>
      </c>
      <c r="AC35" s="0" t="n">
        <f aca="false">$B35/AC$1</f>
        <v>0.002</v>
      </c>
      <c r="AD35" s="0" t="n">
        <f aca="false">$B35/AD$1</f>
        <v>0.00192727272727273</v>
      </c>
      <c r="AE35" s="0" t="n">
        <f aca="false">$B35/AE$1</f>
        <v>0.00185964912280702</v>
      </c>
      <c r="AF35" s="0" t="n">
        <f aca="false">$B35/AF$1</f>
        <v>0.00179661016949153</v>
      </c>
      <c r="AG35" s="0" t="n">
        <f aca="false">$B35/AG$1</f>
        <v>0.00173770491803279</v>
      </c>
      <c r="AH35" s="0" t="n">
        <f aca="false">$B35/AH$1</f>
        <v>0.00168253968253968</v>
      </c>
      <c r="AI35" s="0" t="n">
        <f aca="false">$B35/AI$1</f>
        <v>0.00163076923076923</v>
      </c>
      <c r="AJ35" s="0" t="n">
        <f aca="false">$B35/AJ$1</f>
        <v>0.00158208955223881</v>
      </c>
      <c r="AK35" s="0" t="n">
        <f aca="false">$B35/AK$1</f>
        <v>0.00153623188405797</v>
      </c>
      <c r="AL35" s="0" t="n">
        <f aca="false">$B35/AL$1</f>
        <v>0.00149295774647887</v>
      </c>
      <c r="AM35" s="0" t="n">
        <f aca="false">$B35/AM$1</f>
        <v>0.00145205479452055</v>
      </c>
      <c r="AN35" s="0" t="n">
        <f aca="false">$B35/AN$1</f>
        <v>0.00141333333333333</v>
      </c>
      <c r="AO35" s="0" t="n">
        <f aca="false">$B35/AO$1</f>
        <v>0.00137662337662338</v>
      </c>
      <c r="AP35" s="0" t="n">
        <f aca="false">$B35/AP$1</f>
        <v>0.00134177215189873</v>
      </c>
      <c r="AQ35" s="0" t="n">
        <f aca="false">$B35/AQ$1</f>
        <v>0.00130864197530864</v>
      </c>
      <c r="AR35" s="0" t="n">
        <f aca="false">$B35/AR$1</f>
        <v>0.00127710843373494</v>
      </c>
      <c r="AS35" s="0" t="n">
        <f aca="false">$B35/AS$1</f>
        <v>0.00124705882352941</v>
      </c>
      <c r="AT35" s="0" t="n">
        <f aca="false">$B35/AT$1</f>
        <v>0.0012183908045977</v>
      </c>
      <c r="AU35" s="0" t="n">
        <f aca="false">$B35/AU$1</f>
        <v>0.00119101123595506</v>
      </c>
      <c r="AV35" s="0" t="n">
        <f aca="false">$B35/AV$1</f>
        <v>0.00116483516483516</v>
      </c>
      <c r="AW35" s="0" t="n">
        <f aca="false">$B35/AW$1</f>
        <v>0.00113978494623656</v>
      </c>
      <c r="AX35" s="0" t="n">
        <f aca="false">$B35/AX$1</f>
        <v>0.00111578947368421</v>
      </c>
      <c r="AY35" s="0" t="n">
        <f aca="false">$B35/AY$1</f>
        <v>0.00109278350515464</v>
      </c>
      <c r="AZ35" s="0" t="n">
        <f aca="false">$B35/AZ$1</f>
        <v>0.00107070707070707</v>
      </c>
      <c r="BA35" s="0" t="n">
        <f aca="false">$B35/BA$1</f>
        <v>0.00104950495049505</v>
      </c>
      <c r="BB35" s="0" t="n">
        <f aca="false">$B35/BB$1</f>
        <v>0.00102912621359223</v>
      </c>
      <c r="BC35" s="0" t="n">
        <f aca="false">$B35/BC$1</f>
        <v>0.00100952380952381</v>
      </c>
      <c r="BD35" s="0" t="n">
        <f aca="false">$B35/BD$1</f>
        <v>0.000990654205607477</v>
      </c>
      <c r="BE35" s="0" t="n">
        <f aca="false">$B35/BE$1</f>
        <v>0.000972477064220183</v>
      </c>
      <c r="BF35" s="0" t="n">
        <f aca="false">$B35/BF$1</f>
        <v>0.000954954954954955</v>
      </c>
      <c r="BG35" s="0" t="n">
        <f aca="false">$B35/BG$1</f>
        <v>0.000938053097345133</v>
      </c>
      <c r="BH35" s="0" t="n">
        <f aca="false">$B35/BH$1</f>
        <v>0.000921739130434783</v>
      </c>
      <c r="BI35" s="0" t="n">
        <f aca="false">$B35/BI$1</f>
        <v>0.000905982905982906</v>
      </c>
      <c r="BJ35" s="0" t="n">
        <f aca="false">$B35/BJ$1</f>
        <v>0.000890756302521008</v>
      </c>
      <c r="BL35" s="0" t="n">
        <f aca="false">IF($B$30=1,COUNTIF(C35:BJ35,"&gt;="&amp;$C$30),0)</f>
        <v>13</v>
      </c>
      <c r="BM35" s="0" t="n">
        <f aca="false">IF($B$30=1,IF(OR(BS35&gt;=Settings!$B$5,Settings!$C$18&gt;0),MAX(BL35,Settings!$C$18),0),0)</f>
        <v>13</v>
      </c>
      <c r="BN35" s="0" t="n">
        <f aca="false">IF($B$30=1,IF(OR(BS35&gt;=Settings!$B$5,Settings!$C$18&gt;0),MAX(0,(2*MAX(BL35,Settings!$C$18)+1)*$C$30-BS35),MAX(0,Settings!$B$5-BS35)),"")</f>
        <v>0.005</v>
      </c>
      <c r="BO35" s="0" t="n">
        <f aca="false">IF($B$30=1,IF(OR(BS35&gt;=Settings!$B$5,Settings!$C$18&gt;0),IF(BL35&lt;=Settings!$C$18,"Protected by electorates",IF(Settings!$C$18=0,MIN(BS35-(2*BL35-1)*$D$30,BS35-Settings!$B$5),BS35-(2*BL35-1)*$D$30)),""),"")</f>
        <v>0.00333333333333334</v>
      </c>
      <c r="BP35" s="0" t="n">
        <f aca="false">IF($B$30=1,IF(OR(BS35&gt;=Settings!$B$5,Settings!$C$18&gt;0),MAX(0,MIN(1,(BS35/$C$30-(2*MAX(BL35,Settings!$C$18)-1))/2)),MIN(1,BS35/Settings!$B$5)),"")</f>
        <v>0.391891891891891</v>
      </c>
      <c r="BQ35" s="0" t="n">
        <f aca="false">IF(AND($B$30=1,COUNTIF(C35:BJ35,$C$30)&gt;0),1,0)</f>
        <v>0</v>
      </c>
      <c r="BR35" s="0" t="n">
        <f aca="false">IF(AND($B$30=1,COUNTIF(C35:BJ35,$D$30)&gt;0),1,0)</f>
        <v>0</v>
      </c>
      <c r="BS35" s="0" t="n">
        <f aca="false">N(IF(Polls!L9="",Polls!L37,Polls!L9))</f>
        <v>0.106</v>
      </c>
      <c r="BT35" s="0" t="str">
        <f aca="false">IF(OR(BS35&gt;=Settings!$B$5,Settings!$C$18&gt;0),"Next seat","Threshold")</f>
        <v>Next seat</v>
      </c>
    </row>
    <row r="36" customFormat="false" ht="15" hidden="false" customHeight="false" outlineLevel="0" collapsed="false">
      <c r="A36" s="0" t="s">
        <v>50</v>
      </c>
      <c r="B36" s="0" t="n">
        <f aca="false">IF(OR(BS36&gt;=Settings!$B$5,Settings!$C$19&gt;0),BS36,0)</f>
        <v>0.0145</v>
      </c>
      <c r="C36" s="0" t="n">
        <f aca="false">$B36/C$1</f>
        <v>0.0145</v>
      </c>
      <c r="D36" s="0" t="n">
        <f aca="false">$B36/D$1</f>
        <v>0.00483333333333333</v>
      </c>
      <c r="E36" s="0" t="n">
        <f aca="false">$B36/E$1</f>
        <v>0.0029</v>
      </c>
      <c r="F36" s="0" t="n">
        <f aca="false">$B36/F$1</f>
        <v>0.00207142857142857</v>
      </c>
      <c r="G36" s="0" t="n">
        <f aca="false">$B36/G$1</f>
        <v>0.00161111111111111</v>
      </c>
      <c r="H36" s="0" t="n">
        <f aca="false">$B36/H$1</f>
        <v>0.00131818181818182</v>
      </c>
      <c r="I36" s="0" t="n">
        <f aca="false">$B36/I$1</f>
        <v>0.00111538461538462</v>
      </c>
      <c r="J36" s="0" t="n">
        <f aca="false">$B36/J$1</f>
        <v>0.000966666666666667</v>
      </c>
      <c r="K36" s="0" t="n">
        <f aca="false">$B36/K$1</f>
        <v>0.000852941176470588</v>
      </c>
      <c r="L36" s="0" t="n">
        <f aca="false">$B36/L$1</f>
        <v>0.000763157894736842</v>
      </c>
      <c r="M36" s="0" t="n">
        <f aca="false">$B36/M$1</f>
        <v>0.000690476190476191</v>
      </c>
      <c r="N36" s="0" t="n">
        <f aca="false">$B36/N$1</f>
        <v>0.000630434782608696</v>
      </c>
      <c r="O36" s="0" t="n">
        <f aca="false">$B36/O$1</f>
        <v>0.00058</v>
      </c>
      <c r="P36" s="0" t="n">
        <f aca="false">$B36/P$1</f>
        <v>0.000537037037037037</v>
      </c>
      <c r="Q36" s="0" t="n">
        <f aca="false">$B36/Q$1</f>
        <v>0.0005</v>
      </c>
      <c r="R36" s="0" t="n">
        <f aca="false">$B36/R$1</f>
        <v>0.000467741935483871</v>
      </c>
      <c r="S36" s="0" t="n">
        <f aca="false">$B36/S$1</f>
        <v>0.000439393939393939</v>
      </c>
      <c r="T36" s="0" t="n">
        <f aca="false">$B36/T$1</f>
        <v>0.000414285714285714</v>
      </c>
      <c r="U36" s="0" t="n">
        <f aca="false">$B36/U$1</f>
        <v>0.000391891891891892</v>
      </c>
      <c r="V36" s="0" t="n">
        <f aca="false">$B36/V$1</f>
        <v>0.000371794871794872</v>
      </c>
      <c r="W36" s="0" t="n">
        <f aca="false">$B36/W$1</f>
        <v>0.000353658536585366</v>
      </c>
      <c r="X36" s="0" t="n">
        <f aca="false">$B36/X$1</f>
        <v>0.000337209302325581</v>
      </c>
      <c r="Y36" s="0" t="n">
        <f aca="false">$B36/Y$1</f>
        <v>0.000322222222222222</v>
      </c>
      <c r="Z36" s="0" t="n">
        <f aca="false">$B36/Z$1</f>
        <v>0.000308510638297872</v>
      </c>
      <c r="AA36" s="0" t="n">
        <f aca="false">$B36/AA$1</f>
        <v>0.000295918367346939</v>
      </c>
      <c r="AB36" s="0" t="n">
        <f aca="false">$B36/AB$1</f>
        <v>0.000284313725490196</v>
      </c>
      <c r="AC36" s="0" t="n">
        <f aca="false">$B36/AC$1</f>
        <v>0.000273584905660377</v>
      </c>
      <c r="AD36" s="0" t="n">
        <f aca="false">$B36/AD$1</f>
        <v>0.000263636363636364</v>
      </c>
      <c r="AE36" s="0" t="n">
        <f aca="false">$B36/AE$1</f>
        <v>0.000254385964912281</v>
      </c>
      <c r="AF36" s="0" t="n">
        <f aca="false">$B36/AF$1</f>
        <v>0.000245762711864407</v>
      </c>
      <c r="AG36" s="0" t="n">
        <f aca="false">$B36/AG$1</f>
        <v>0.000237704918032787</v>
      </c>
      <c r="AH36" s="0" t="n">
        <f aca="false">$B36/AH$1</f>
        <v>0.00023015873015873</v>
      </c>
      <c r="AI36" s="0" t="n">
        <f aca="false">$B36/AI$1</f>
        <v>0.000223076923076923</v>
      </c>
      <c r="AJ36" s="0" t="n">
        <f aca="false">$B36/AJ$1</f>
        <v>0.000216417910447761</v>
      </c>
      <c r="AK36" s="0" t="n">
        <f aca="false">$B36/AK$1</f>
        <v>0.000210144927536232</v>
      </c>
      <c r="AL36" s="0" t="n">
        <f aca="false">$B36/AL$1</f>
        <v>0.000204225352112676</v>
      </c>
      <c r="AM36" s="0" t="n">
        <f aca="false">$B36/AM$1</f>
        <v>0.000198630136986301</v>
      </c>
      <c r="AN36" s="0" t="n">
        <f aca="false">$B36/AN$1</f>
        <v>0.000193333333333333</v>
      </c>
      <c r="AO36" s="0" t="n">
        <f aca="false">$B36/AO$1</f>
        <v>0.000188311688311688</v>
      </c>
      <c r="AP36" s="0" t="n">
        <f aca="false">$B36/AP$1</f>
        <v>0.000183544303797468</v>
      </c>
      <c r="AQ36" s="0" t="n">
        <f aca="false">$B36/AQ$1</f>
        <v>0.000179012345679012</v>
      </c>
      <c r="AR36" s="0" t="n">
        <f aca="false">$B36/AR$1</f>
        <v>0.000174698795180723</v>
      </c>
      <c r="AS36" s="0" t="n">
        <f aca="false">$B36/AS$1</f>
        <v>0.000170588235294118</v>
      </c>
      <c r="AT36" s="0" t="n">
        <f aca="false">$B36/AT$1</f>
        <v>0.000166666666666667</v>
      </c>
      <c r="AU36" s="0" t="n">
        <f aca="false">$B36/AU$1</f>
        <v>0.000162921348314607</v>
      </c>
      <c r="AV36" s="0" t="n">
        <f aca="false">$B36/AV$1</f>
        <v>0.000159340659340659</v>
      </c>
      <c r="AW36" s="0" t="n">
        <f aca="false">$B36/AW$1</f>
        <v>0.000155913978494624</v>
      </c>
      <c r="AX36" s="0" t="n">
        <f aca="false">$B36/AX$1</f>
        <v>0.000152631578947368</v>
      </c>
      <c r="AY36" s="0" t="n">
        <f aca="false">$B36/AY$1</f>
        <v>0.000149484536082474</v>
      </c>
      <c r="AZ36" s="0" t="n">
        <f aca="false">$B36/AZ$1</f>
        <v>0.000146464646464646</v>
      </c>
      <c r="BA36" s="0" t="n">
        <f aca="false">$B36/BA$1</f>
        <v>0.000143564356435644</v>
      </c>
      <c r="BB36" s="0" t="n">
        <f aca="false">$B36/BB$1</f>
        <v>0.000140776699029126</v>
      </c>
      <c r="BC36" s="0" t="n">
        <f aca="false">$B36/BC$1</f>
        <v>0.000138095238095238</v>
      </c>
      <c r="BD36" s="0" t="n">
        <f aca="false">$B36/BD$1</f>
        <v>0.000135514018691589</v>
      </c>
      <c r="BE36" s="0" t="n">
        <f aca="false">$B36/BE$1</f>
        <v>0.00013302752293578</v>
      </c>
      <c r="BF36" s="0" t="n">
        <f aca="false">$B36/BF$1</f>
        <v>0.000130630630630631</v>
      </c>
      <c r="BG36" s="0" t="n">
        <f aca="false">$B36/BG$1</f>
        <v>0.000128318584070796</v>
      </c>
      <c r="BH36" s="0" t="n">
        <f aca="false">$B36/BH$1</f>
        <v>0.000126086956521739</v>
      </c>
      <c r="BI36" s="0" t="n">
        <f aca="false">$B36/BI$1</f>
        <v>0.000123931623931624</v>
      </c>
      <c r="BJ36" s="0" t="n">
        <f aca="false">$B36/BJ$1</f>
        <v>0.000121848739495798</v>
      </c>
      <c r="BL36" s="0" t="n">
        <f aca="false">IF($B$30=1,COUNTIF(C36:BJ36,"&gt;="&amp;$C$30),0)</f>
        <v>2</v>
      </c>
      <c r="BM36" s="0" t="n">
        <f aca="false">IF($B$30=1,IF(OR(BS36&gt;=Settings!$B$5,Settings!$C$19&gt;0),MAX(BL36,Settings!$C$19),0),0)</f>
        <v>4</v>
      </c>
      <c r="BN36" s="0" t="n">
        <f aca="false">IF($B$30=1,IF(OR(BS36&gt;=Settings!$B$5,Settings!$C$19&gt;0),MAX(0,(2*MAX(BL36,Settings!$C$19)+1)*$C$30-BS36),MAX(0,Settings!$B$5-BS36)),"")</f>
        <v>0.0225</v>
      </c>
      <c r="BO36" s="0" t="str">
        <f aca="false">IF($B$30=1,IF(OR(BS36&gt;=Settings!$B$5,Settings!$C$19&gt;0),IF(BL36&lt;=Settings!$C$19,"Protected by electorates",IF(Settings!$C$19=0,MIN(BS36-(2*BL36-1)*$D$30,BS36-Settings!$B$5),BS36-(2*BL36-1)*$D$30)),""),"")</f>
        <v>Protected by electorates</v>
      </c>
      <c r="BP36" s="0" t="n">
        <f aca="false">IF($B$30=1,IF(OR(BS36&gt;=Settings!$B$5,Settings!$C$19&gt;0),MAX(0,MIN(1,(BS36/$C$30-(2*MAX(BL36,Settings!$C$19)-1))/2)),MIN(1,BS36/Settings!$B$5)),"")</f>
        <v>0</v>
      </c>
      <c r="BQ36" s="0" t="n">
        <f aca="false">IF(AND($B$30=1,COUNTIF(C36:BJ36,$C$30)&gt;0),1,0)</f>
        <v>0</v>
      </c>
      <c r="BR36" s="0" t="n">
        <f aca="false">IF(AND($B$30=1,COUNTIF(C36:BJ36,$D$30)&gt;0),1,0)</f>
        <v>0</v>
      </c>
      <c r="BS36" s="0" t="n">
        <f aca="false">N(IF(Polls!M9="",Polls!M37,Polls!M9))</f>
        <v>0.0145</v>
      </c>
      <c r="BT36" s="0" t="str">
        <f aca="false">IF(OR(BS36&gt;=Settings!$B$5,Settings!$C$19&gt;0),"Next seat","Threshold")</f>
        <v>Next seat</v>
      </c>
    </row>
    <row r="37" customFormat="false" ht="15" hidden="false" customHeight="false" outlineLevel="0" collapsed="false">
      <c r="A37" s="0" t="s">
        <v>52</v>
      </c>
      <c r="B37" s="0" t="n">
        <f aca="false">IF(OR(BS37&gt;=Settings!$B$5,Settings!$C$20&gt;0),BS37,0)</f>
        <v>0.055</v>
      </c>
      <c r="C37" s="0" t="n">
        <f aca="false">$B37/C$1</f>
        <v>0.055</v>
      </c>
      <c r="D37" s="0" t="n">
        <f aca="false">$B37/D$1</f>
        <v>0.0183333333333333</v>
      </c>
      <c r="E37" s="0" t="n">
        <f aca="false">$B37/E$1</f>
        <v>0.011</v>
      </c>
      <c r="F37" s="0" t="n">
        <f aca="false">$B37/F$1</f>
        <v>0.00785714285714286</v>
      </c>
      <c r="G37" s="0" t="n">
        <f aca="false">$B37/G$1</f>
        <v>0.00611111111111111</v>
      </c>
      <c r="H37" s="0" t="n">
        <f aca="false">$B37/H$1</f>
        <v>0.005</v>
      </c>
      <c r="I37" s="0" t="n">
        <f aca="false">$B37/I$1</f>
        <v>0.00423076923076923</v>
      </c>
      <c r="J37" s="0" t="n">
        <f aca="false">$B37/J$1</f>
        <v>0.00366666666666667</v>
      </c>
      <c r="K37" s="0" t="n">
        <f aca="false">$B37/K$1</f>
        <v>0.00323529411764706</v>
      </c>
      <c r="L37" s="0" t="n">
        <f aca="false">$B37/L$1</f>
        <v>0.00289473684210526</v>
      </c>
      <c r="M37" s="0" t="n">
        <f aca="false">$B37/M$1</f>
        <v>0.00261904761904762</v>
      </c>
      <c r="N37" s="0" t="n">
        <f aca="false">$B37/N$1</f>
        <v>0.00239130434782609</v>
      </c>
      <c r="O37" s="0" t="n">
        <f aca="false">$B37/O$1</f>
        <v>0.0022</v>
      </c>
      <c r="P37" s="0" t="n">
        <f aca="false">$B37/P$1</f>
        <v>0.00203703703703704</v>
      </c>
      <c r="Q37" s="0" t="n">
        <f aca="false">$B37/Q$1</f>
        <v>0.00189655172413793</v>
      </c>
      <c r="R37" s="0" t="n">
        <f aca="false">$B37/R$1</f>
        <v>0.0017741935483871</v>
      </c>
      <c r="S37" s="0" t="n">
        <f aca="false">$B37/S$1</f>
        <v>0.00166666666666667</v>
      </c>
      <c r="T37" s="0" t="n">
        <f aca="false">$B37/T$1</f>
        <v>0.00157142857142857</v>
      </c>
      <c r="U37" s="0" t="n">
        <f aca="false">$B37/U$1</f>
        <v>0.00148648648648649</v>
      </c>
      <c r="V37" s="0" t="n">
        <f aca="false">$B37/V$1</f>
        <v>0.00141025641025641</v>
      </c>
      <c r="W37" s="0" t="n">
        <f aca="false">$B37/W$1</f>
        <v>0.00134146341463415</v>
      </c>
      <c r="X37" s="0" t="n">
        <f aca="false">$B37/X$1</f>
        <v>0.00127906976744186</v>
      </c>
      <c r="Y37" s="0" t="n">
        <f aca="false">$B37/Y$1</f>
        <v>0.00122222222222222</v>
      </c>
      <c r="Z37" s="0" t="n">
        <f aca="false">$B37/Z$1</f>
        <v>0.00117021276595745</v>
      </c>
      <c r="AA37" s="0" t="n">
        <f aca="false">$B37/AA$1</f>
        <v>0.00112244897959184</v>
      </c>
      <c r="AB37" s="0" t="n">
        <f aca="false">$B37/AB$1</f>
        <v>0.00107843137254902</v>
      </c>
      <c r="AC37" s="0" t="n">
        <f aca="false">$B37/AC$1</f>
        <v>0.0010377358490566</v>
      </c>
      <c r="AD37" s="0" t="n">
        <f aca="false">$B37/AD$1</f>
        <v>0.001</v>
      </c>
      <c r="AE37" s="0" t="n">
        <f aca="false">$B37/AE$1</f>
        <v>0.000964912280701754</v>
      </c>
      <c r="AF37" s="0" t="n">
        <f aca="false">$B37/AF$1</f>
        <v>0.000932203389830509</v>
      </c>
      <c r="AG37" s="0" t="n">
        <f aca="false">$B37/AG$1</f>
        <v>0.000901639344262295</v>
      </c>
      <c r="AH37" s="0" t="n">
        <f aca="false">$B37/AH$1</f>
        <v>0.000873015873015873</v>
      </c>
      <c r="AI37" s="0" t="n">
        <f aca="false">$B37/AI$1</f>
        <v>0.000846153846153846</v>
      </c>
      <c r="AJ37" s="0" t="n">
        <f aca="false">$B37/AJ$1</f>
        <v>0.00082089552238806</v>
      </c>
      <c r="AK37" s="0" t="n">
        <f aca="false">$B37/AK$1</f>
        <v>0.000797101449275362</v>
      </c>
      <c r="AL37" s="0" t="n">
        <f aca="false">$B37/AL$1</f>
        <v>0.000774647887323944</v>
      </c>
      <c r="AM37" s="0" t="n">
        <f aca="false">$B37/AM$1</f>
        <v>0.000753424657534247</v>
      </c>
      <c r="AN37" s="0" t="n">
        <f aca="false">$B37/AN$1</f>
        <v>0.000733333333333333</v>
      </c>
      <c r="AO37" s="0" t="n">
        <f aca="false">$B37/AO$1</f>
        <v>0.000714285714285714</v>
      </c>
      <c r="AP37" s="0" t="n">
        <f aca="false">$B37/AP$1</f>
        <v>0.00069620253164557</v>
      </c>
      <c r="AQ37" s="0" t="n">
        <f aca="false">$B37/AQ$1</f>
        <v>0.000679012345679012</v>
      </c>
      <c r="AR37" s="0" t="n">
        <f aca="false">$B37/AR$1</f>
        <v>0.000662650602409639</v>
      </c>
      <c r="AS37" s="0" t="n">
        <f aca="false">$B37/AS$1</f>
        <v>0.000647058823529412</v>
      </c>
      <c r="AT37" s="0" t="n">
        <f aca="false">$B37/AT$1</f>
        <v>0.000632183908045977</v>
      </c>
      <c r="AU37" s="0" t="n">
        <f aca="false">$B37/AU$1</f>
        <v>0.000617977528089888</v>
      </c>
      <c r="AV37" s="0" t="n">
        <f aca="false">$B37/AV$1</f>
        <v>0.000604395604395604</v>
      </c>
      <c r="AW37" s="0" t="n">
        <f aca="false">$B37/AW$1</f>
        <v>0.000591397849462366</v>
      </c>
      <c r="AX37" s="0" t="n">
        <f aca="false">$B37/AX$1</f>
        <v>0.000578947368421053</v>
      </c>
      <c r="AY37" s="0" t="n">
        <f aca="false">$B37/AY$1</f>
        <v>0.000567010309278351</v>
      </c>
      <c r="AZ37" s="0" t="n">
        <f aca="false">$B37/AZ$1</f>
        <v>0.000555555555555556</v>
      </c>
      <c r="BA37" s="0" t="n">
        <f aca="false">$B37/BA$1</f>
        <v>0.000544554455445545</v>
      </c>
      <c r="BB37" s="0" t="n">
        <f aca="false">$B37/BB$1</f>
        <v>0.000533980582524272</v>
      </c>
      <c r="BC37" s="0" t="n">
        <f aca="false">$B37/BC$1</f>
        <v>0.000523809523809524</v>
      </c>
      <c r="BD37" s="0" t="n">
        <f aca="false">$B37/BD$1</f>
        <v>0.000514018691588785</v>
      </c>
      <c r="BE37" s="0" t="n">
        <f aca="false">$B37/BE$1</f>
        <v>0.000504587155963303</v>
      </c>
      <c r="BF37" s="0" t="n">
        <f aca="false">$B37/BF$1</f>
        <v>0.000495495495495496</v>
      </c>
      <c r="BG37" s="0" t="n">
        <f aca="false">$B37/BG$1</f>
        <v>0.000486725663716814</v>
      </c>
      <c r="BH37" s="0" t="n">
        <f aca="false">$B37/BH$1</f>
        <v>0.000478260869565217</v>
      </c>
      <c r="BI37" s="0" t="n">
        <f aca="false">$B37/BI$1</f>
        <v>0.00047008547008547</v>
      </c>
      <c r="BJ37" s="0" t="n">
        <f aca="false">$B37/BJ$1</f>
        <v>0.00046218487394958</v>
      </c>
      <c r="BL37" s="0" t="n">
        <f aca="false">IF($B$30=1,COUNTIF(C37:BJ37,"&gt;="&amp;$C$30),0)</f>
        <v>7</v>
      </c>
      <c r="BM37" s="0" t="n">
        <f aca="false">IF($B$30=1,IF(OR(BS37&gt;=Settings!$B$5,Settings!$C$20&gt;0),MAX(BL37,Settings!$C$20),0),0)</f>
        <v>7</v>
      </c>
      <c r="BN37" s="0" t="n">
        <f aca="false">IF($B$30=1,IF(OR(BS37&gt;=Settings!$B$5,Settings!$C$20&gt;0),MAX(0,(2*MAX(BL37,Settings!$C$20)+1)*$C$30-BS37),MAX(0,Settings!$B$5-BS37)),"")</f>
        <v>0.00666666666666667</v>
      </c>
      <c r="BO37" s="0" t="n">
        <f aca="false">IF($B$30=1,IF(OR(BS37&gt;=Settings!$B$5,Settings!$C$20&gt;0),IF(BL37&lt;=Settings!$C$20,"Protected by electorates",IF(Settings!$C$20=0,MIN(BS37-(2*BL37-1)*$D$30,BS37-Settings!$B$5),BS37-(2*BL37-1)*$D$30)),""),"")</f>
        <v>0.00161333333333333</v>
      </c>
      <c r="BP37" s="0" t="n">
        <f aca="false">IF($B$30=1,IF(OR(BS37&gt;=Settings!$B$5,Settings!$C$20&gt;0),MAX(0,MIN(1,(BS37/$C$30-(2*MAX(BL37,Settings!$C$20)-1))/2)),MIN(1,BS37/Settings!$B$5)),"")</f>
        <v>0.189189189189189</v>
      </c>
      <c r="BQ37" s="0" t="n">
        <f aca="false">IF(AND($B$30=1,COUNTIF(C37:BJ37,$C$30)&gt;0),1,0)</f>
        <v>0</v>
      </c>
      <c r="BR37" s="0" t="n">
        <f aca="false">IF(AND($B$30=1,COUNTIF(C37:BJ37,$D$30)&gt;0),1,0)</f>
        <v>0</v>
      </c>
      <c r="BS37" s="0" t="n">
        <f aca="false">N(IF(Polls!N9="",Polls!N37,Polls!N9))</f>
        <v>0.055</v>
      </c>
      <c r="BT37" s="0" t="str">
        <f aca="false">IF(OR(BS37&gt;=Settings!$B$5,Settings!$C$20&gt;0),"Next seat","Threshold")</f>
        <v>Next seat</v>
      </c>
    </row>
    <row r="39" customFormat="false" ht="15" hidden="false" customHeight="false" outlineLevel="0" collapsed="false">
      <c r="A39" s="41" t="str">
        <f aca="false">Polls!A10</f>
        <v>Verian 27 Sep</v>
      </c>
      <c r="B39" s="17" t="n">
        <f aca="false">IF(SUM(BS40:BS46)&gt;0,1,0)</f>
        <v>1</v>
      </c>
      <c r="C39" s="17" t="n">
        <f aca="false">IF(B39=1,LARGE(C40:BJ46,Settings!$B$4),0)</f>
        <v>0.0041025641025641</v>
      </c>
      <c r="D39" s="17" t="n">
        <f aca="false">IF(B39=1,LARGE(C40:BJ46,Settings!$B$4+1),0)</f>
        <v>0.00407407407407407</v>
      </c>
      <c r="E39" s="0" t="str">
        <f aca="false">IF(B39=1,IFERROR(INDEX(A40:A46,MATCH(1,BQ40:BQ46,0)),""),"")</f>
        <v>GRN</v>
      </c>
      <c r="F39" s="0" t="str">
        <f aca="false">IF(B39=1,IFERROR(INDEX(A40:A46,MATCH(1,BR40:BR46,0)),""),"")</f>
        <v>ACT</v>
      </c>
      <c r="G39" s="17" t="n">
        <f aca="false">IF(B39=1,SUM(BM40:BM46)+Settings!$B$10,"")</f>
        <v>123</v>
      </c>
    </row>
    <row r="40" customFormat="false" ht="15" hidden="false" customHeight="false" outlineLevel="0" collapsed="false">
      <c r="A40" s="0" t="s">
        <v>41</v>
      </c>
      <c r="B40" s="0" t="n">
        <f aca="false">IF(OR(BS40&gt;=Settings!$B$5,Settings!$C$14&gt;0),BS40,0)</f>
        <v>0.28</v>
      </c>
      <c r="C40" s="0" t="n">
        <f aca="false">$B40/C$1</f>
        <v>0.28</v>
      </c>
      <c r="D40" s="0" t="n">
        <f aca="false">$B40/D$1</f>
        <v>0.0933333333333333</v>
      </c>
      <c r="E40" s="0" t="n">
        <f aca="false">$B40/E$1</f>
        <v>0.056</v>
      </c>
      <c r="F40" s="0" t="n">
        <f aca="false">$B40/F$1</f>
        <v>0.04</v>
      </c>
      <c r="G40" s="0" t="n">
        <f aca="false">$B40/G$1</f>
        <v>0.0311111111111111</v>
      </c>
      <c r="H40" s="0" t="n">
        <f aca="false">$B40/H$1</f>
        <v>0.0254545454545455</v>
      </c>
      <c r="I40" s="0" t="n">
        <f aca="false">$B40/I$1</f>
        <v>0.0215384615384615</v>
      </c>
      <c r="J40" s="0" t="n">
        <f aca="false">$B40/J$1</f>
        <v>0.0186666666666667</v>
      </c>
      <c r="K40" s="0" t="n">
        <f aca="false">$B40/K$1</f>
        <v>0.0164705882352941</v>
      </c>
      <c r="L40" s="0" t="n">
        <f aca="false">$B40/L$1</f>
        <v>0.0147368421052632</v>
      </c>
      <c r="M40" s="0" t="n">
        <f aca="false">$B40/M$1</f>
        <v>0.0133333333333333</v>
      </c>
      <c r="N40" s="0" t="n">
        <f aca="false">$B40/N$1</f>
        <v>0.0121739130434783</v>
      </c>
      <c r="O40" s="0" t="n">
        <f aca="false">$B40/O$1</f>
        <v>0.0112</v>
      </c>
      <c r="P40" s="0" t="n">
        <f aca="false">$B40/P$1</f>
        <v>0.0103703703703704</v>
      </c>
      <c r="Q40" s="0" t="n">
        <f aca="false">$B40/Q$1</f>
        <v>0.0096551724137931</v>
      </c>
      <c r="R40" s="0" t="n">
        <f aca="false">$B40/R$1</f>
        <v>0.00903225806451613</v>
      </c>
      <c r="S40" s="0" t="n">
        <f aca="false">$B40/S$1</f>
        <v>0.00848484848484849</v>
      </c>
      <c r="T40" s="0" t="n">
        <f aca="false">$B40/T$1</f>
        <v>0.008</v>
      </c>
      <c r="U40" s="0" t="n">
        <f aca="false">$B40/U$1</f>
        <v>0.00756756756756757</v>
      </c>
      <c r="V40" s="0" t="n">
        <f aca="false">$B40/V$1</f>
        <v>0.00717948717948718</v>
      </c>
      <c r="W40" s="0" t="n">
        <f aca="false">$B40/W$1</f>
        <v>0.00682926829268293</v>
      </c>
      <c r="X40" s="0" t="n">
        <f aca="false">$B40/X$1</f>
        <v>0.00651162790697674</v>
      </c>
      <c r="Y40" s="0" t="n">
        <f aca="false">$B40/Y$1</f>
        <v>0.00622222222222222</v>
      </c>
      <c r="Z40" s="0" t="n">
        <f aca="false">$B40/Z$1</f>
        <v>0.00595744680851064</v>
      </c>
      <c r="AA40" s="0" t="n">
        <f aca="false">$B40/AA$1</f>
        <v>0.00571428571428572</v>
      </c>
      <c r="AB40" s="0" t="n">
        <f aca="false">$B40/AB$1</f>
        <v>0.00549019607843137</v>
      </c>
      <c r="AC40" s="0" t="n">
        <f aca="false">$B40/AC$1</f>
        <v>0.00528301886792453</v>
      </c>
      <c r="AD40" s="0" t="n">
        <f aca="false">$B40/AD$1</f>
        <v>0.00509090909090909</v>
      </c>
      <c r="AE40" s="0" t="n">
        <f aca="false">$B40/AE$1</f>
        <v>0.00491228070175439</v>
      </c>
      <c r="AF40" s="0" t="n">
        <f aca="false">$B40/AF$1</f>
        <v>0.00474576271186441</v>
      </c>
      <c r="AG40" s="0" t="n">
        <f aca="false">$B40/AG$1</f>
        <v>0.00459016393442623</v>
      </c>
      <c r="AH40" s="0" t="n">
        <f aca="false">$B40/AH$1</f>
        <v>0.00444444444444444</v>
      </c>
      <c r="AI40" s="0" t="n">
        <f aca="false">$B40/AI$1</f>
        <v>0.00430769230769231</v>
      </c>
      <c r="AJ40" s="0" t="n">
        <f aca="false">$B40/AJ$1</f>
        <v>0.00417910447761194</v>
      </c>
      <c r="AK40" s="0" t="n">
        <f aca="false">$B40/AK$1</f>
        <v>0.00405797101449275</v>
      </c>
      <c r="AL40" s="0" t="n">
        <f aca="false">$B40/AL$1</f>
        <v>0.00394366197183099</v>
      </c>
      <c r="AM40" s="0" t="n">
        <f aca="false">$B40/AM$1</f>
        <v>0.00383561643835616</v>
      </c>
      <c r="AN40" s="0" t="n">
        <f aca="false">$B40/AN$1</f>
        <v>0.00373333333333333</v>
      </c>
      <c r="AO40" s="0" t="n">
        <f aca="false">$B40/AO$1</f>
        <v>0.00363636363636364</v>
      </c>
      <c r="AP40" s="0" t="n">
        <f aca="false">$B40/AP$1</f>
        <v>0.00354430379746835</v>
      </c>
      <c r="AQ40" s="0" t="n">
        <f aca="false">$B40/AQ$1</f>
        <v>0.00345679012345679</v>
      </c>
      <c r="AR40" s="0" t="n">
        <f aca="false">$B40/AR$1</f>
        <v>0.00337349397590362</v>
      </c>
      <c r="AS40" s="0" t="n">
        <f aca="false">$B40/AS$1</f>
        <v>0.00329411764705882</v>
      </c>
      <c r="AT40" s="0" t="n">
        <f aca="false">$B40/AT$1</f>
        <v>0.0032183908045977</v>
      </c>
      <c r="AU40" s="0" t="n">
        <f aca="false">$B40/AU$1</f>
        <v>0.00314606741573034</v>
      </c>
      <c r="AV40" s="0" t="n">
        <f aca="false">$B40/AV$1</f>
        <v>0.00307692307692308</v>
      </c>
      <c r="AW40" s="0" t="n">
        <f aca="false">$B40/AW$1</f>
        <v>0.00301075268817204</v>
      </c>
      <c r="AX40" s="0" t="n">
        <f aca="false">$B40/AX$1</f>
        <v>0.00294736842105263</v>
      </c>
      <c r="AY40" s="0" t="n">
        <f aca="false">$B40/AY$1</f>
        <v>0.00288659793814433</v>
      </c>
      <c r="AZ40" s="0" t="n">
        <f aca="false">$B40/AZ$1</f>
        <v>0.00282828282828283</v>
      </c>
      <c r="BA40" s="0" t="n">
        <f aca="false">$B40/BA$1</f>
        <v>0.00277227722772277</v>
      </c>
      <c r="BB40" s="0" t="n">
        <f aca="false">$B40/BB$1</f>
        <v>0.00271844660194175</v>
      </c>
      <c r="BC40" s="0" t="n">
        <f aca="false">$B40/BC$1</f>
        <v>0.00266666666666667</v>
      </c>
      <c r="BD40" s="0" t="n">
        <f aca="false">$B40/BD$1</f>
        <v>0.00261682242990654</v>
      </c>
      <c r="BE40" s="0" t="n">
        <f aca="false">$B40/BE$1</f>
        <v>0.00256880733944954</v>
      </c>
      <c r="BF40" s="0" t="n">
        <f aca="false">$B40/BF$1</f>
        <v>0.00252252252252252</v>
      </c>
      <c r="BG40" s="0" t="n">
        <f aca="false">$B40/BG$1</f>
        <v>0.00247787610619469</v>
      </c>
      <c r="BH40" s="0" t="n">
        <f aca="false">$B40/BH$1</f>
        <v>0.00243478260869565</v>
      </c>
      <c r="BI40" s="0" t="n">
        <f aca="false">$B40/BI$1</f>
        <v>0.00239316239316239</v>
      </c>
      <c r="BJ40" s="0" t="n">
        <f aca="false">$B40/BJ$1</f>
        <v>0.00235294117647059</v>
      </c>
      <c r="BL40" s="0" t="n">
        <f aca="false">IF($B$39=1,COUNTIF(C40:BJ40,"&gt;="&amp;$C$39),0)</f>
        <v>34</v>
      </c>
      <c r="BM40" s="0" t="n">
        <f aca="false">IF($B$39=1,IF(OR(BS40&gt;=Settings!$B$5,Settings!$C$14&gt;0),MAX(BL40,Settings!$C$14),0),0)</f>
        <v>34</v>
      </c>
      <c r="BN40" s="0" t="n">
        <f aca="false">IF($B$39=1,IF(OR(BS40&gt;=Settings!$B$5,Settings!$C$14&gt;0),MAX(0,(2*MAX(BL40,Settings!$C$14)+1)*$C$39-BS40),MAX(0,Settings!$B$5-BS40)),"")</f>
        <v>0.00307692307692303</v>
      </c>
      <c r="BO40" s="0" t="n">
        <f aca="false">IF($B$39=1,IF(OR(BS40&gt;=Settings!$B$5,Settings!$C$14&gt;0),IF(BL40&lt;=Settings!$C$14,"Protected by electorates",IF(Settings!$C$14=0,MIN(BS40-(2*BL40-1)*$D$39,BS40-Settings!$B$5),BS40-(2*BL40-1)*$D$39)),""),"")</f>
        <v>0.00703703703703706</v>
      </c>
      <c r="BP40" s="0" t="n">
        <f aca="false">IF($B$39=1,IF(OR(BS40&gt;=Settings!$B$5,Settings!$C$14&gt;0),MAX(0,MIN(1,(BS40/$C$39-(2*MAX(BL40,Settings!$C$14)-1))/2)),MIN(1,BS40/Settings!$B$5)),"")</f>
        <v>0.625</v>
      </c>
      <c r="BQ40" s="0" t="n">
        <f aca="false">IF(AND($B$39=1,COUNTIF(C40:BJ40,$C$39)&gt;0),1,0)</f>
        <v>0</v>
      </c>
      <c r="BR40" s="0" t="n">
        <f aca="false">IF(AND($B$39=1,COUNTIF(C40:BJ40,$D$39)&gt;0),1,0)</f>
        <v>0</v>
      </c>
      <c r="BS40" s="0" t="n">
        <f aca="false">N(IF(Polls!H10="",Polls!H37,Polls!H10))</f>
        <v>0.28</v>
      </c>
      <c r="BT40" s="0" t="str">
        <f aca="false">IF(OR(BS40&gt;=Settings!$B$5,Settings!$C$14&gt;0),"Next seat","Threshold")</f>
        <v>Next seat</v>
      </c>
    </row>
    <row r="41" customFormat="false" ht="15" hidden="false" customHeight="false" outlineLevel="0" collapsed="false">
      <c r="A41" s="0" t="s">
        <v>43</v>
      </c>
      <c r="B41" s="0" t="n">
        <f aca="false">IF(OR(BS41&gt;=Settings!$B$5,Settings!$C$15&gt;0),BS41,0)</f>
        <v>0.28</v>
      </c>
      <c r="C41" s="0" t="n">
        <f aca="false">$B41/C$1</f>
        <v>0.28</v>
      </c>
      <c r="D41" s="0" t="n">
        <f aca="false">$B41/D$1</f>
        <v>0.0933333333333333</v>
      </c>
      <c r="E41" s="0" t="n">
        <f aca="false">$B41/E$1</f>
        <v>0.056</v>
      </c>
      <c r="F41" s="0" t="n">
        <f aca="false">$B41/F$1</f>
        <v>0.04</v>
      </c>
      <c r="G41" s="0" t="n">
        <f aca="false">$B41/G$1</f>
        <v>0.0311111111111111</v>
      </c>
      <c r="H41" s="0" t="n">
        <f aca="false">$B41/H$1</f>
        <v>0.0254545454545455</v>
      </c>
      <c r="I41" s="0" t="n">
        <f aca="false">$B41/I$1</f>
        <v>0.0215384615384615</v>
      </c>
      <c r="J41" s="0" t="n">
        <f aca="false">$B41/J$1</f>
        <v>0.0186666666666667</v>
      </c>
      <c r="K41" s="0" t="n">
        <f aca="false">$B41/K$1</f>
        <v>0.0164705882352941</v>
      </c>
      <c r="L41" s="0" t="n">
        <f aca="false">$B41/L$1</f>
        <v>0.0147368421052632</v>
      </c>
      <c r="M41" s="0" t="n">
        <f aca="false">$B41/M$1</f>
        <v>0.0133333333333333</v>
      </c>
      <c r="N41" s="0" t="n">
        <f aca="false">$B41/N$1</f>
        <v>0.0121739130434783</v>
      </c>
      <c r="O41" s="0" t="n">
        <f aca="false">$B41/O$1</f>
        <v>0.0112</v>
      </c>
      <c r="P41" s="0" t="n">
        <f aca="false">$B41/P$1</f>
        <v>0.0103703703703704</v>
      </c>
      <c r="Q41" s="0" t="n">
        <f aca="false">$B41/Q$1</f>
        <v>0.0096551724137931</v>
      </c>
      <c r="R41" s="0" t="n">
        <f aca="false">$B41/R$1</f>
        <v>0.00903225806451613</v>
      </c>
      <c r="S41" s="0" t="n">
        <f aca="false">$B41/S$1</f>
        <v>0.00848484848484849</v>
      </c>
      <c r="T41" s="0" t="n">
        <f aca="false">$B41/T$1</f>
        <v>0.008</v>
      </c>
      <c r="U41" s="0" t="n">
        <f aca="false">$B41/U$1</f>
        <v>0.00756756756756757</v>
      </c>
      <c r="V41" s="0" t="n">
        <f aca="false">$B41/V$1</f>
        <v>0.00717948717948718</v>
      </c>
      <c r="W41" s="0" t="n">
        <f aca="false">$B41/W$1</f>
        <v>0.00682926829268293</v>
      </c>
      <c r="X41" s="0" t="n">
        <f aca="false">$B41/X$1</f>
        <v>0.00651162790697674</v>
      </c>
      <c r="Y41" s="0" t="n">
        <f aca="false">$B41/Y$1</f>
        <v>0.00622222222222222</v>
      </c>
      <c r="Z41" s="0" t="n">
        <f aca="false">$B41/Z$1</f>
        <v>0.00595744680851064</v>
      </c>
      <c r="AA41" s="0" t="n">
        <f aca="false">$B41/AA$1</f>
        <v>0.00571428571428572</v>
      </c>
      <c r="AB41" s="0" t="n">
        <f aca="false">$B41/AB$1</f>
        <v>0.00549019607843137</v>
      </c>
      <c r="AC41" s="0" t="n">
        <f aca="false">$B41/AC$1</f>
        <v>0.00528301886792453</v>
      </c>
      <c r="AD41" s="0" t="n">
        <f aca="false">$B41/AD$1</f>
        <v>0.00509090909090909</v>
      </c>
      <c r="AE41" s="0" t="n">
        <f aca="false">$B41/AE$1</f>
        <v>0.00491228070175439</v>
      </c>
      <c r="AF41" s="0" t="n">
        <f aca="false">$B41/AF$1</f>
        <v>0.00474576271186441</v>
      </c>
      <c r="AG41" s="0" t="n">
        <f aca="false">$B41/AG$1</f>
        <v>0.00459016393442623</v>
      </c>
      <c r="AH41" s="0" t="n">
        <f aca="false">$B41/AH$1</f>
        <v>0.00444444444444444</v>
      </c>
      <c r="AI41" s="0" t="n">
        <f aca="false">$B41/AI$1</f>
        <v>0.00430769230769231</v>
      </c>
      <c r="AJ41" s="0" t="n">
        <f aca="false">$B41/AJ$1</f>
        <v>0.00417910447761194</v>
      </c>
      <c r="AK41" s="0" t="n">
        <f aca="false">$B41/AK$1</f>
        <v>0.00405797101449275</v>
      </c>
      <c r="AL41" s="0" t="n">
        <f aca="false">$B41/AL$1</f>
        <v>0.00394366197183099</v>
      </c>
      <c r="AM41" s="0" t="n">
        <f aca="false">$B41/AM$1</f>
        <v>0.00383561643835616</v>
      </c>
      <c r="AN41" s="0" t="n">
        <f aca="false">$B41/AN$1</f>
        <v>0.00373333333333333</v>
      </c>
      <c r="AO41" s="0" t="n">
        <f aca="false">$B41/AO$1</f>
        <v>0.00363636363636364</v>
      </c>
      <c r="AP41" s="0" t="n">
        <f aca="false">$B41/AP$1</f>
        <v>0.00354430379746835</v>
      </c>
      <c r="AQ41" s="0" t="n">
        <f aca="false">$B41/AQ$1</f>
        <v>0.00345679012345679</v>
      </c>
      <c r="AR41" s="0" t="n">
        <f aca="false">$B41/AR$1</f>
        <v>0.00337349397590362</v>
      </c>
      <c r="AS41" s="0" t="n">
        <f aca="false">$B41/AS$1</f>
        <v>0.00329411764705882</v>
      </c>
      <c r="AT41" s="0" t="n">
        <f aca="false">$B41/AT$1</f>
        <v>0.0032183908045977</v>
      </c>
      <c r="AU41" s="0" t="n">
        <f aca="false">$B41/AU$1</f>
        <v>0.00314606741573034</v>
      </c>
      <c r="AV41" s="0" t="n">
        <f aca="false">$B41/AV$1</f>
        <v>0.00307692307692308</v>
      </c>
      <c r="AW41" s="0" t="n">
        <f aca="false">$B41/AW$1</f>
        <v>0.00301075268817204</v>
      </c>
      <c r="AX41" s="0" t="n">
        <f aca="false">$B41/AX$1</f>
        <v>0.00294736842105263</v>
      </c>
      <c r="AY41" s="0" t="n">
        <f aca="false">$B41/AY$1</f>
        <v>0.00288659793814433</v>
      </c>
      <c r="AZ41" s="0" t="n">
        <f aca="false">$B41/AZ$1</f>
        <v>0.00282828282828283</v>
      </c>
      <c r="BA41" s="0" t="n">
        <f aca="false">$B41/BA$1</f>
        <v>0.00277227722772277</v>
      </c>
      <c r="BB41" s="0" t="n">
        <f aca="false">$B41/BB$1</f>
        <v>0.00271844660194175</v>
      </c>
      <c r="BC41" s="0" t="n">
        <f aca="false">$B41/BC$1</f>
        <v>0.00266666666666667</v>
      </c>
      <c r="BD41" s="0" t="n">
        <f aca="false">$B41/BD$1</f>
        <v>0.00261682242990654</v>
      </c>
      <c r="BE41" s="0" t="n">
        <f aca="false">$B41/BE$1</f>
        <v>0.00256880733944954</v>
      </c>
      <c r="BF41" s="0" t="n">
        <f aca="false">$B41/BF$1</f>
        <v>0.00252252252252252</v>
      </c>
      <c r="BG41" s="0" t="n">
        <f aca="false">$B41/BG$1</f>
        <v>0.00247787610619469</v>
      </c>
      <c r="BH41" s="0" t="n">
        <f aca="false">$B41/BH$1</f>
        <v>0.00243478260869565</v>
      </c>
      <c r="BI41" s="0" t="n">
        <f aca="false">$B41/BI$1</f>
        <v>0.00239316239316239</v>
      </c>
      <c r="BJ41" s="0" t="n">
        <f aca="false">$B41/BJ$1</f>
        <v>0.00235294117647059</v>
      </c>
      <c r="BL41" s="0" t="n">
        <f aca="false">IF($B$39=1,COUNTIF(C41:BJ41,"&gt;="&amp;$C$39),0)</f>
        <v>34</v>
      </c>
      <c r="BM41" s="0" t="n">
        <f aca="false">IF($B$39=1,IF(OR(BS41&gt;=Settings!$B$5,Settings!$C$15&gt;0),MAX(BL41,Settings!$C$15),0),0)</f>
        <v>34</v>
      </c>
      <c r="BN41" s="0" t="n">
        <f aca="false">IF($B$39=1,IF(OR(BS41&gt;=Settings!$B$5,Settings!$C$15&gt;0),MAX(0,(2*MAX(BL41,Settings!$C$15)+1)*$C$39-BS41),MAX(0,Settings!$B$5-BS41)),"")</f>
        <v>0.00307692307692303</v>
      </c>
      <c r="BO41" s="0" t="n">
        <f aca="false">IF($B$39=1,IF(OR(BS41&gt;=Settings!$B$5,Settings!$C$15&gt;0),IF(BL41&lt;=Settings!$C$15,"Protected by electorates",IF(Settings!$C$15=0,MIN(BS41-(2*BL41-1)*$D$39,BS41-Settings!$B$5),BS41-(2*BL41-1)*$D$39)),""),"")</f>
        <v>0.00703703703703706</v>
      </c>
      <c r="BP41" s="0" t="n">
        <f aca="false">IF($B$39=1,IF(OR(BS41&gt;=Settings!$B$5,Settings!$C$15&gt;0),MAX(0,MIN(1,(BS41/$C$39-(2*MAX(BL41,Settings!$C$15)-1))/2)),MIN(1,BS41/Settings!$B$5)),"")</f>
        <v>0.625</v>
      </c>
      <c r="BQ41" s="0" t="n">
        <f aca="false">IF(AND($B$39=1,COUNTIF(C41:BJ41,$C$39)&gt;0),1,0)</f>
        <v>0</v>
      </c>
      <c r="BR41" s="0" t="n">
        <f aca="false">IF(AND($B$39=1,COUNTIF(C41:BJ41,$D$39)&gt;0),1,0)</f>
        <v>0</v>
      </c>
      <c r="BS41" s="0" t="n">
        <f aca="false">N(IF(Polls!I10="",Polls!I37,Polls!I10))</f>
        <v>0.28</v>
      </c>
      <c r="BT41" s="0" t="str">
        <f aca="false">IF(OR(BS41&gt;=Settings!$B$5,Settings!$C$15&gt;0),"Next seat","Threshold")</f>
        <v>Next seat</v>
      </c>
    </row>
    <row r="42" customFormat="false" ht="15" hidden="false" customHeight="false" outlineLevel="0" collapsed="false">
      <c r="A42" s="0" t="s">
        <v>45</v>
      </c>
      <c r="B42" s="0" t="n">
        <f aca="false">IF(OR(BS42&gt;=Settings!$B$5,Settings!$C$16&gt;0),BS42,0)</f>
        <v>0.16</v>
      </c>
      <c r="C42" s="0" t="n">
        <f aca="false">$B42/C$1</f>
        <v>0.16</v>
      </c>
      <c r="D42" s="0" t="n">
        <f aca="false">$B42/D$1</f>
        <v>0.0533333333333333</v>
      </c>
      <c r="E42" s="0" t="n">
        <f aca="false">$B42/E$1</f>
        <v>0.032</v>
      </c>
      <c r="F42" s="0" t="n">
        <f aca="false">$B42/F$1</f>
        <v>0.0228571428571429</v>
      </c>
      <c r="G42" s="0" t="n">
        <f aca="false">$B42/G$1</f>
        <v>0.0177777777777778</v>
      </c>
      <c r="H42" s="0" t="n">
        <f aca="false">$B42/H$1</f>
        <v>0.0145454545454545</v>
      </c>
      <c r="I42" s="0" t="n">
        <f aca="false">$B42/I$1</f>
        <v>0.0123076923076923</v>
      </c>
      <c r="J42" s="0" t="n">
        <f aca="false">$B42/J$1</f>
        <v>0.0106666666666667</v>
      </c>
      <c r="K42" s="0" t="n">
        <f aca="false">$B42/K$1</f>
        <v>0.00941176470588235</v>
      </c>
      <c r="L42" s="0" t="n">
        <f aca="false">$B42/L$1</f>
        <v>0.00842105263157895</v>
      </c>
      <c r="M42" s="0" t="n">
        <f aca="false">$B42/M$1</f>
        <v>0.00761904761904762</v>
      </c>
      <c r="N42" s="0" t="n">
        <f aca="false">$B42/N$1</f>
        <v>0.00695652173913044</v>
      </c>
      <c r="O42" s="0" t="n">
        <f aca="false">$B42/O$1</f>
        <v>0.0064</v>
      </c>
      <c r="P42" s="0" t="n">
        <f aca="false">$B42/P$1</f>
        <v>0.00592592592592593</v>
      </c>
      <c r="Q42" s="0" t="n">
        <f aca="false">$B42/Q$1</f>
        <v>0.00551724137931035</v>
      </c>
      <c r="R42" s="0" t="n">
        <f aca="false">$B42/R$1</f>
        <v>0.00516129032258065</v>
      </c>
      <c r="S42" s="0" t="n">
        <f aca="false">$B42/S$1</f>
        <v>0.00484848484848485</v>
      </c>
      <c r="T42" s="0" t="n">
        <f aca="false">$B42/T$1</f>
        <v>0.00457142857142857</v>
      </c>
      <c r="U42" s="0" t="n">
        <f aca="false">$B42/U$1</f>
        <v>0.00432432432432432</v>
      </c>
      <c r="V42" s="0" t="n">
        <f aca="false">$B42/V$1</f>
        <v>0.0041025641025641</v>
      </c>
      <c r="W42" s="0" t="n">
        <f aca="false">$B42/W$1</f>
        <v>0.00390243902439024</v>
      </c>
      <c r="X42" s="0" t="n">
        <f aca="false">$B42/X$1</f>
        <v>0.00372093023255814</v>
      </c>
      <c r="Y42" s="0" t="n">
        <f aca="false">$B42/Y$1</f>
        <v>0.00355555555555556</v>
      </c>
      <c r="Z42" s="0" t="n">
        <f aca="false">$B42/Z$1</f>
        <v>0.00340425531914894</v>
      </c>
      <c r="AA42" s="0" t="n">
        <f aca="false">$B42/AA$1</f>
        <v>0.00326530612244898</v>
      </c>
      <c r="AB42" s="0" t="n">
        <f aca="false">$B42/AB$1</f>
        <v>0.00313725490196078</v>
      </c>
      <c r="AC42" s="0" t="n">
        <f aca="false">$B42/AC$1</f>
        <v>0.0030188679245283</v>
      </c>
      <c r="AD42" s="0" t="n">
        <f aca="false">$B42/AD$1</f>
        <v>0.00290909090909091</v>
      </c>
      <c r="AE42" s="0" t="n">
        <f aca="false">$B42/AE$1</f>
        <v>0.00280701754385965</v>
      </c>
      <c r="AF42" s="0" t="n">
        <f aca="false">$B42/AF$1</f>
        <v>0.00271186440677966</v>
      </c>
      <c r="AG42" s="0" t="n">
        <f aca="false">$B42/AG$1</f>
        <v>0.00262295081967213</v>
      </c>
      <c r="AH42" s="0" t="n">
        <f aca="false">$B42/AH$1</f>
        <v>0.00253968253968254</v>
      </c>
      <c r="AI42" s="0" t="n">
        <f aca="false">$B42/AI$1</f>
        <v>0.00246153846153846</v>
      </c>
      <c r="AJ42" s="0" t="n">
        <f aca="false">$B42/AJ$1</f>
        <v>0.00238805970149254</v>
      </c>
      <c r="AK42" s="0" t="n">
        <f aca="false">$B42/AK$1</f>
        <v>0.00231884057971015</v>
      </c>
      <c r="AL42" s="0" t="n">
        <f aca="false">$B42/AL$1</f>
        <v>0.00225352112676056</v>
      </c>
      <c r="AM42" s="0" t="n">
        <f aca="false">$B42/AM$1</f>
        <v>0.00219178082191781</v>
      </c>
      <c r="AN42" s="0" t="n">
        <f aca="false">$B42/AN$1</f>
        <v>0.00213333333333333</v>
      </c>
      <c r="AO42" s="0" t="n">
        <f aca="false">$B42/AO$1</f>
        <v>0.00207792207792208</v>
      </c>
      <c r="AP42" s="0" t="n">
        <f aca="false">$B42/AP$1</f>
        <v>0.0020253164556962</v>
      </c>
      <c r="AQ42" s="0" t="n">
        <f aca="false">$B42/AQ$1</f>
        <v>0.00197530864197531</v>
      </c>
      <c r="AR42" s="0" t="n">
        <f aca="false">$B42/AR$1</f>
        <v>0.00192771084337349</v>
      </c>
      <c r="AS42" s="0" t="n">
        <f aca="false">$B42/AS$1</f>
        <v>0.00188235294117647</v>
      </c>
      <c r="AT42" s="0" t="n">
        <f aca="false">$B42/AT$1</f>
        <v>0.00183908045977011</v>
      </c>
      <c r="AU42" s="0" t="n">
        <f aca="false">$B42/AU$1</f>
        <v>0.00179775280898876</v>
      </c>
      <c r="AV42" s="0" t="n">
        <f aca="false">$B42/AV$1</f>
        <v>0.00175824175824176</v>
      </c>
      <c r="AW42" s="0" t="n">
        <f aca="false">$B42/AW$1</f>
        <v>0.00172043010752688</v>
      </c>
      <c r="AX42" s="0" t="n">
        <f aca="false">$B42/AX$1</f>
        <v>0.00168421052631579</v>
      </c>
      <c r="AY42" s="0" t="n">
        <f aca="false">$B42/AY$1</f>
        <v>0.00164948453608247</v>
      </c>
      <c r="AZ42" s="0" t="n">
        <f aca="false">$B42/AZ$1</f>
        <v>0.00161616161616162</v>
      </c>
      <c r="BA42" s="0" t="n">
        <f aca="false">$B42/BA$1</f>
        <v>0.00158415841584158</v>
      </c>
      <c r="BB42" s="0" t="n">
        <f aca="false">$B42/BB$1</f>
        <v>0.00155339805825243</v>
      </c>
      <c r="BC42" s="0" t="n">
        <f aca="false">$B42/BC$1</f>
        <v>0.00152380952380952</v>
      </c>
      <c r="BD42" s="0" t="n">
        <f aca="false">$B42/BD$1</f>
        <v>0.00149532710280374</v>
      </c>
      <c r="BE42" s="0" t="n">
        <f aca="false">$B42/BE$1</f>
        <v>0.00146788990825688</v>
      </c>
      <c r="BF42" s="0" t="n">
        <f aca="false">$B42/BF$1</f>
        <v>0.00144144144144144</v>
      </c>
      <c r="BG42" s="0" t="n">
        <f aca="false">$B42/BG$1</f>
        <v>0.00141592920353982</v>
      </c>
      <c r="BH42" s="0" t="n">
        <f aca="false">$B42/BH$1</f>
        <v>0.00139130434782609</v>
      </c>
      <c r="BI42" s="0" t="n">
        <f aca="false">$B42/BI$1</f>
        <v>0.00136752136752137</v>
      </c>
      <c r="BJ42" s="0" t="n">
        <f aca="false">$B42/BJ$1</f>
        <v>0.00134453781512605</v>
      </c>
      <c r="BL42" s="0" t="n">
        <f aca="false">IF($B$39=1,COUNTIF(C42:BJ42,"&gt;="&amp;$C$39),0)</f>
        <v>20</v>
      </c>
      <c r="BM42" s="0" t="n">
        <f aca="false">IF($B$39=1,IF(OR(BS42&gt;=Settings!$B$5,Settings!$C$16&gt;0),MAX(BL42,Settings!$C$16),0),0)</f>
        <v>20</v>
      </c>
      <c r="BN42" s="0" t="n">
        <f aca="false">IF($B$39=1,IF(OR(BS42&gt;=Settings!$B$5,Settings!$C$16&gt;0),MAX(0,(2*MAX(BL42,Settings!$C$16)+1)*$C$39-BS42),MAX(0,Settings!$B$5-BS42)),"")</f>
        <v>0.0082051282051282</v>
      </c>
      <c r="BO42" s="0" t="n">
        <f aca="false">IF($B$39=1,IF(OR(BS42&gt;=Settings!$B$5,Settings!$C$16&gt;0),IF(BL42&lt;=Settings!$C$16,"Protected by electorates",IF(Settings!$C$16=0,MIN(BS42-(2*BL42-1)*$D$39,BS42-Settings!$B$5),BS42-(2*BL42-1)*$D$39)),""),"")</f>
        <v>0.00111111111111112</v>
      </c>
      <c r="BP42" s="0" t="n">
        <f aca="false">IF($B$39=1,IF(OR(BS42&gt;=Settings!$B$5,Settings!$C$16&gt;0),MAX(0,MIN(1,(BS42/$C$39-(2*MAX(BL42,Settings!$C$16)-1))/2)),MIN(1,BS42/Settings!$B$5)),"")</f>
        <v>0</v>
      </c>
      <c r="BQ42" s="0" t="n">
        <f aca="false">IF(AND($B$39=1,COUNTIF(C42:BJ42,$C$39)&gt;0),1,0)</f>
        <v>1</v>
      </c>
      <c r="BR42" s="0" t="n">
        <f aca="false">IF(AND($B$39=1,COUNTIF(C42:BJ42,$D$39)&gt;0),1,0)</f>
        <v>0</v>
      </c>
      <c r="BS42" s="0" t="n">
        <f aca="false">N(IF(Polls!J10="",Polls!J37,Polls!J10))</f>
        <v>0.16</v>
      </c>
      <c r="BT42" s="0" t="str">
        <f aca="false">IF(OR(BS42&gt;=Settings!$B$5,Settings!$C$16&gt;0),"Next seat","Threshold")</f>
        <v>Next seat</v>
      </c>
    </row>
    <row r="43" customFormat="false" ht="15" hidden="false" customHeight="false" outlineLevel="0" collapsed="false">
      <c r="A43" s="0" t="s">
        <v>46</v>
      </c>
      <c r="B43" s="0" t="n">
        <f aca="false">IF(OR(BS43&gt;=Settings!$B$5,Settings!$C$17&gt;0),BS43,0)</f>
        <v>0.11</v>
      </c>
      <c r="C43" s="0" t="n">
        <f aca="false">$B43/C$1</f>
        <v>0.11</v>
      </c>
      <c r="D43" s="0" t="n">
        <f aca="false">$B43/D$1</f>
        <v>0.0366666666666667</v>
      </c>
      <c r="E43" s="0" t="n">
        <f aca="false">$B43/E$1</f>
        <v>0.022</v>
      </c>
      <c r="F43" s="0" t="n">
        <f aca="false">$B43/F$1</f>
        <v>0.0157142857142857</v>
      </c>
      <c r="G43" s="0" t="n">
        <f aca="false">$B43/G$1</f>
        <v>0.0122222222222222</v>
      </c>
      <c r="H43" s="0" t="n">
        <f aca="false">$B43/H$1</f>
        <v>0.01</v>
      </c>
      <c r="I43" s="0" t="n">
        <f aca="false">$B43/I$1</f>
        <v>0.00846153846153846</v>
      </c>
      <c r="J43" s="0" t="n">
        <f aca="false">$B43/J$1</f>
        <v>0.00733333333333333</v>
      </c>
      <c r="K43" s="0" t="n">
        <f aca="false">$B43/K$1</f>
        <v>0.00647058823529412</v>
      </c>
      <c r="L43" s="0" t="n">
        <f aca="false">$B43/L$1</f>
        <v>0.00578947368421053</v>
      </c>
      <c r="M43" s="0" t="n">
        <f aca="false">$B43/M$1</f>
        <v>0.00523809523809524</v>
      </c>
      <c r="N43" s="0" t="n">
        <f aca="false">$B43/N$1</f>
        <v>0.00478260869565217</v>
      </c>
      <c r="O43" s="0" t="n">
        <f aca="false">$B43/O$1</f>
        <v>0.0044</v>
      </c>
      <c r="P43" s="0" t="n">
        <f aca="false">$B43/P$1</f>
        <v>0.00407407407407407</v>
      </c>
      <c r="Q43" s="0" t="n">
        <f aca="false">$B43/Q$1</f>
        <v>0.00379310344827586</v>
      </c>
      <c r="R43" s="0" t="n">
        <f aca="false">$B43/R$1</f>
        <v>0.00354838709677419</v>
      </c>
      <c r="S43" s="0" t="n">
        <f aca="false">$B43/S$1</f>
        <v>0.00333333333333333</v>
      </c>
      <c r="T43" s="0" t="n">
        <f aca="false">$B43/T$1</f>
        <v>0.00314285714285714</v>
      </c>
      <c r="U43" s="0" t="n">
        <f aca="false">$B43/U$1</f>
        <v>0.00297297297297297</v>
      </c>
      <c r="V43" s="0" t="n">
        <f aca="false">$B43/V$1</f>
        <v>0.00282051282051282</v>
      </c>
      <c r="W43" s="0" t="n">
        <f aca="false">$B43/W$1</f>
        <v>0.00268292682926829</v>
      </c>
      <c r="X43" s="0" t="n">
        <f aca="false">$B43/X$1</f>
        <v>0.00255813953488372</v>
      </c>
      <c r="Y43" s="0" t="n">
        <f aca="false">$B43/Y$1</f>
        <v>0.00244444444444444</v>
      </c>
      <c r="Z43" s="0" t="n">
        <f aca="false">$B43/Z$1</f>
        <v>0.00234042553191489</v>
      </c>
      <c r="AA43" s="0" t="n">
        <f aca="false">$B43/AA$1</f>
        <v>0.00224489795918367</v>
      </c>
      <c r="AB43" s="0" t="n">
        <f aca="false">$B43/AB$1</f>
        <v>0.00215686274509804</v>
      </c>
      <c r="AC43" s="0" t="n">
        <f aca="false">$B43/AC$1</f>
        <v>0.00207547169811321</v>
      </c>
      <c r="AD43" s="0" t="n">
        <f aca="false">$B43/AD$1</f>
        <v>0.002</v>
      </c>
      <c r="AE43" s="0" t="n">
        <f aca="false">$B43/AE$1</f>
        <v>0.00192982456140351</v>
      </c>
      <c r="AF43" s="0" t="n">
        <f aca="false">$B43/AF$1</f>
        <v>0.00186440677966102</v>
      </c>
      <c r="AG43" s="0" t="n">
        <f aca="false">$B43/AG$1</f>
        <v>0.00180327868852459</v>
      </c>
      <c r="AH43" s="0" t="n">
        <f aca="false">$B43/AH$1</f>
        <v>0.00174603174603175</v>
      </c>
      <c r="AI43" s="0" t="n">
        <f aca="false">$B43/AI$1</f>
        <v>0.00169230769230769</v>
      </c>
      <c r="AJ43" s="0" t="n">
        <f aca="false">$B43/AJ$1</f>
        <v>0.00164179104477612</v>
      </c>
      <c r="AK43" s="0" t="n">
        <f aca="false">$B43/AK$1</f>
        <v>0.00159420289855072</v>
      </c>
      <c r="AL43" s="0" t="n">
        <f aca="false">$B43/AL$1</f>
        <v>0.00154929577464789</v>
      </c>
      <c r="AM43" s="0" t="n">
        <f aca="false">$B43/AM$1</f>
        <v>0.00150684931506849</v>
      </c>
      <c r="AN43" s="0" t="n">
        <f aca="false">$B43/AN$1</f>
        <v>0.00146666666666667</v>
      </c>
      <c r="AO43" s="0" t="n">
        <f aca="false">$B43/AO$1</f>
        <v>0.00142857142857143</v>
      </c>
      <c r="AP43" s="0" t="n">
        <f aca="false">$B43/AP$1</f>
        <v>0.00139240506329114</v>
      </c>
      <c r="AQ43" s="0" t="n">
        <f aca="false">$B43/AQ$1</f>
        <v>0.00135802469135802</v>
      </c>
      <c r="AR43" s="0" t="n">
        <f aca="false">$B43/AR$1</f>
        <v>0.00132530120481928</v>
      </c>
      <c r="AS43" s="0" t="n">
        <f aca="false">$B43/AS$1</f>
        <v>0.00129411764705882</v>
      </c>
      <c r="AT43" s="0" t="n">
        <f aca="false">$B43/AT$1</f>
        <v>0.00126436781609195</v>
      </c>
      <c r="AU43" s="0" t="n">
        <f aca="false">$B43/AU$1</f>
        <v>0.00123595505617978</v>
      </c>
      <c r="AV43" s="0" t="n">
        <f aca="false">$B43/AV$1</f>
        <v>0.00120879120879121</v>
      </c>
      <c r="AW43" s="0" t="n">
        <f aca="false">$B43/AW$1</f>
        <v>0.00118279569892473</v>
      </c>
      <c r="AX43" s="0" t="n">
        <f aca="false">$B43/AX$1</f>
        <v>0.00115789473684211</v>
      </c>
      <c r="AY43" s="0" t="n">
        <f aca="false">$B43/AY$1</f>
        <v>0.0011340206185567</v>
      </c>
      <c r="AZ43" s="0" t="n">
        <f aca="false">$B43/AZ$1</f>
        <v>0.00111111111111111</v>
      </c>
      <c r="BA43" s="0" t="n">
        <f aca="false">$B43/BA$1</f>
        <v>0.00108910891089109</v>
      </c>
      <c r="BB43" s="0" t="n">
        <f aca="false">$B43/BB$1</f>
        <v>0.00106796116504854</v>
      </c>
      <c r="BC43" s="0" t="n">
        <f aca="false">$B43/BC$1</f>
        <v>0.00104761904761905</v>
      </c>
      <c r="BD43" s="0" t="n">
        <f aca="false">$B43/BD$1</f>
        <v>0.00102803738317757</v>
      </c>
      <c r="BE43" s="0" t="n">
        <f aca="false">$B43/BE$1</f>
        <v>0.00100917431192661</v>
      </c>
      <c r="BF43" s="0" t="n">
        <f aca="false">$B43/BF$1</f>
        <v>0.000990990990990991</v>
      </c>
      <c r="BG43" s="0" t="n">
        <f aca="false">$B43/BG$1</f>
        <v>0.000973451327433628</v>
      </c>
      <c r="BH43" s="0" t="n">
        <f aca="false">$B43/BH$1</f>
        <v>0.000956521739130435</v>
      </c>
      <c r="BI43" s="0" t="n">
        <f aca="false">$B43/BI$1</f>
        <v>0.00094017094017094</v>
      </c>
      <c r="BJ43" s="0" t="n">
        <f aca="false">$B43/BJ$1</f>
        <v>0.00092436974789916</v>
      </c>
      <c r="BL43" s="0" t="n">
        <f aca="false">IF($B$39=1,COUNTIF(C43:BJ43,"&gt;="&amp;$C$39),0)</f>
        <v>13</v>
      </c>
      <c r="BM43" s="0" t="n">
        <f aca="false">IF($B$39=1,IF(OR(BS43&gt;=Settings!$B$5,Settings!$C$17&gt;0),MAX(BL43,Settings!$C$17),0),0)</f>
        <v>13</v>
      </c>
      <c r="BN43" s="0" t="n">
        <f aca="false">IF($B$39=1,IF(OR(BS43&gt;=Settings!$B$5,Settings!$C$17&gt;0),MAX(0,(2*MAX(BL43,Settings!$C$17)+1)*$C$39-BS43),MAX(0,Settings!$B$5-BS43)),"")</f>
        <v>0.000769230769230772</v>
      </c>
      <c r="BO43" s="0" t="n">
        <f aca="false">IF($B$39=1,IF(OR(BS43&gt;=Settings!$B$5,Settings!$C$17&gt;0),IF(BL43&lt;=Settings!$C$17,"Protected by electorates",IF(Settings!$C$17=0,MIN(BS43-(2*BL43-1)*$D$39,BS43-Settings!$B$5),BS43-(2*BL43-1)*$D$39)),""),"")</f>
        <v>0.00814814814814815</v>
      </c>
      <c r="BP43" s="0" t="n">
        <f aca="false">IF($B$39=1,IF(OR(BS43&gt;=Settings!$B$5,Settings!$C$17&gt;0),MAX(0,MIN(1,(BS43/$C$39-(2*MAX(BL43,Settings!$C$17)-1))/2)),MIN(1,BS43/Settings!$B$5)),"")</f>
        <v>0.90625</v>
      </c>
      <c r="BQ43" s="0" t="n">
        <f aca="false">IF(AND($B$39=1,COUNTIF(C43:BJ43,$C$39)&gt;0),1,0)</f>
        <v>0</v>
      </c>
      <c r="BR43" s="0" t="n">
        <f aca="false">IF(AND($B$39=1,COUNTIF(C43:BJ43,$D$39)&gt;0),1,0)</f>
        <v>1</v>
      </c>
      <c r="BS43" s="0" t="n">
        <f aca="false">N(IF(Polls!K10="",Polls!K37,Polls!K10))</f>
        <v>0.11</v>
      </c>
      <c r="BT43" s="0" t="str">
        <f aca="false">IF(OR(BS43&gt;=Settings!$B$5,Settings!$C$17&gt;0),"Next seat","Threshold")</f>
        <v>Next seat</v>
      </c>
    </row>
    <row r="44" customFormat="false" ht="15" hidden="false" customHeight="false" outlineLevel="0" collapsed="false">
      <c r="A44" s="0" t="s">
        <v>48</v>
      </c>
      <c r="B44" s="0" t="n">
        <f aca="false">IF(OR(BS44&gt;=Settings!$B$5,Settings!$C$18&gt;0),BS44,0)</f>
        <v>0.09</v>
      </c>
      <c r="C44" s="0" t="n">
        <f aca="false">$B44/C$1</f>
        <v>0.09</v>
      </c>
      <c r="D44" s="0" t="n">
        <f aca="false">$B44/D$1</f>
        <v>0.03</v>
      </c>
      <c r="E44" s="0" t="n">
        <f aca="false">$B44/E$1</f>
        <v>0.018</v>
      </c>
      <c r="F44" s="0" t="n">
        <f aca="false">$B44/F$1</f>
        <v>0.0128571428571429</v>
      </c>
      <c r="G44" s="0" t="n">
        <f aca="false">$B44/G$1</f>
        <v>0.01</v>
      </c>
      <c r="H44" s="0" t="n">
        <f aca="false">$B44/H$1</f>
        <v>0.00818181818181818</v>
      </c>
      <c r="I44" s="0" t="n">
        <f aca="false">$B44/I$1</f>
        <v>0.00692307692307692</v>
      </c>
      <c r="J44" s="0" t="n">
        <f aca="false">$B44/J$1</f>
        <v>0.006</v>
      </c>
      <c r="K44" s="0" t="n">
        <f aca="false">$B44/K$1</f>
        <v>0.00529411764705882</v>
      </c>
      <c r="L44" s="0" t="n">
        <f aca="false">$B44/L$1</f>
        <v>0.00473684210526316</v>
      </c>
      <c r="M44" s="0" t="n">
        <f aca="false">$B44/M$1</f>
        <v>0.00428571428571429</v>
      </c>
      <c r="N44" s="0" t="n">
        <f aca="false">$B44/N$1</f>
        <v>0.00391304347826087</v>
      </c>
      <c r="O44" s="0" t="n">
        <f aca="false">$B44/O$1</f>
        <v>0.0036</v>
      </c>
      <c r="P44" s="0" t="n">
        <f aca="false">$B44/P$1</f>
        <v>0.00333333333333333</v>
      </c>
      <c r="Q44" s="0" t="n">
        <f aca="false">$B44/Q$1</f>
        <v>0.00310344827586207</v>
      </c>
      <c r="R44" s="0" t="n">
        <f aca="false">$B44/R$1</f>
        <v>0.00290322580645161</v>
      </c>
      <c r="S44" s="0" t="n">
        <f aca="false">$B44/S$1</f>
        <v>0.00272727272727273</v>
      </c>
      <c r="T44" s="0" t="n">
        <f aca="false">$B44/T$1</f>
        <v>0.00257142857142857</v>
      </c>
      <c r="U44" s="0" t="n">
        <f aca="false">$B44/U$1</f>
        <v>0.00243243243243243</v>
      </c>
      <c r="V44" s="0" t="n">
        <f aca="false">$B44/V$1</f>
        <v>0.00230769230769231</v>
      </c>
      <c r="W44" s="0" t="n">
        <f aca="false">$B44/W$1</f>
        <v>0.00219512195121951</v>
      </c>
      <c r="X44" s="0" t="n">
        <f aca="false">$B44/X$1</f>
        <v>0.00209302325581395</v>
      </c>
      <c r="Y44" s="0" t="n">
        <f aca="false">$B44/Y$1</f>
        <v>0.002</v>
      </c>
      <c r="Z44" s="0" t="n">
        <f aca="false">$B44/Z$1</f>
        <v>0.00191489361702128</v>
      </c>
      <c r="AA44" s="0" t="n">
        <f aca="false">$B44/AA$1</f>
        <v>0.00183673469387755</v>
      </c>
      <c r="AB44" s="0" t="n">
        <f aca="false">$B44/AB$1</f>
        <v>0.00176470588235294</v>
      </c>
      <c r="AC44" s="0" t="n">
        <f aca="false">$B44/AC$1</f>
        <v>0.00169811320754717</v>
      </c>
      <c r="AD44" s="0" t="n">
        <f aca="false">$B44/AD$1</f>
        <v>0.00163636363636364</v>
      </c>
      <c r="AE44" s="0" t="n">
        <f aca="false">$B44/AE$1</f>
        <v>0.00157894736842105</v>
      </c>
      <c r="AF44" s="0" t="n">
        <f aca="false">$B44/AF$1</f>
        <v>0.00152542372881356</v>
      </c>
      <c r="AG44" s="0" t="n">
        <f aca="false">$B44/AG$1</f>
        <v>0.00147540983606557</v>
      </c>
      <c r="AH44" s="0" t="n">
        <f aca="false">$B44/AH$1</f>
        <v>0.00142857142857143</v>
      </c>
      <c r="AI44" s="0" t="n">
        <f aca="false">$B44/AI$1</f>
        <v>0.00138461538461538</v>
      </c>
      <c r="AJ44" s="0" t="n">
        <f aca="false">$B44/AJ$1</f>
        <v>0.00134328358208955</v>
      </c>
      <c r="AK44" s="0" t="n">
        <f aca="false">$B44/AK$1</f>
        <v>0.00130434782608696</v>
      </c>
      <c r="AL44" s="0" t="n">
        <f aca="false">$B44/AL$1</f>
        <v>0.00126760563380282</v>
      </c>
      <c r="AM44" s="0" t="n">
        <f aca="false">$B44/AM$1</f>
        <v>0.00123287671232877</v>
      </c>
      <c r="AN44" s="0" t="n">
        <f aca="false">$B44/AN$1</f>
        <v>0.0012</v>
      </c>
      <c r="AO44" s="0" t="n">
        <f aca="false">$B44/AO$1</f>
        <v>0.00116883116883117</v>
      </c>
      <c r="AP44" s="0" t="n">
        <f aca="false">$B44/AP$1</f>
        <v>0.00113924050632911</v>
      </c>
      <c r="AQ44" s="0" t="n">
        <f aca="false">$B44/AQ$1</f>
        <v>0.00111111111111111</v>
      </c>
      <c r="AR44" s="0" t="n">
        <f aca="false">$B44/AR$1</f>
        <v>0.00108433734939759</v>
      </c>
      <c r="AS44" s="0" t="n">
        <f aca="false">$B44/AS$1</f>
        <v>0.00105882352941176</v>
      </c>
      <c r="AT44" s="0" t="n">
        <f aca="false">$B44/AT$1</f>
        <v>0.00103448275862069</v>
      </c>
      <c r="AU44" s="0" t="n">
        <f aca="false">$B44/AU$1</f>
        <v>0.00101123595505618</v>
      </c>
      <c r="AV44" s="0" t="n">
        <f aca="false">$B44/AV$1</f>
        <v>0.000989010989010989</v>
      </c>
      <c r="AW44" s="0" t="n">
        <f aca="false">$B44/AW$1</f>
        <v>0.000967741935483871</v>
      </c>
      <c r="AX44" s="0" t="n">
        <f aca="false">$B44/AX$1</f>
        <v>0.000947368421052632</v>
      </c>
      <c r="AY44" s="0" t="n">
        <f aca="false">$B44/AY$1</f>
        <v>0.000927835051546392</v>
      </c>
      <c r="AZ44" s="0" t="n">
        <f aca="false">$B44/AZ$1</f>
        <v>0.000909090909090909</v>
      </c>
      <c r="BA44" s="0" t="n">
        <f aca="false">$B44/BA$1</f>
        <v>0.000891089108910891</v>
      </c>
      <c r="BB44" s="0" t="n">
        <f aca="false">$B44/BB$1</f>
        <v>0.00087378640776699</v>
      </c>
      <c r="BC44" s="0" t="n">
        <f aca="false">$B44/BC$1</f>
        <v>0.000857142857142857</v>
      </c>
      <c r="BD44" s="0" t="n">
        <f aca="false">$B44/BD$1</f>
        <v>0.000841121495327103</v>
      </c>
      <c r="BE44" s="0" t="n">
        <f aca="false">$B44/BE$1</f>
        <v>0.000825688073394495</v>
      </c>
      <c r="BF44" s="0" t="n">
        <f aca="false">$B44/BF$1</f>
        <v>0.000810810810810811</v>
      </c>
      <c r="BG44" s="0" t="n">
        <f aca="false">$B44/BG$1</f>
        <v>0.00079646017699115</v>
      </c>
      <c r="BH44" s="0" t="n">
        <f aca="false">$B44/BH$1</f>
        <v>0.000782608695652174</v>
      </c>
      <c r="BI44" s="0" t="n">
        <f aca="false">$B44/BI$1</f>
        <v>0.000769230769230769</v>
      </c>
      <c r="BJ44" s="0" t="n">
        <f aca="false">$B44/BJ$1</f>
        <v>0.000756302521008403</v>
      </c>
      <c r="BL44" s="0" t="n">
        <f aca="false">IF($B$39=1,COUNTIF(C44:BJ44,"&gt;="&amp;$C$39),0)</f>
        <v>11</v>
      </c>
      <c r="BM44" s="0" t="n">
        <f aca="false">IF($B$39=1,IF(OR(BS44&gt;=Settings!$B$5,Settings!$C$18&gt;0),MAX(BL44,Settings!$C$18),0),0)</f>
        <v>11</v>
      </c>
      <c r="BN44" s="0" t="n">
        <f aca="false">IF($B$39=1,IF(OR(BS44&gt;=Settings!$B$5,Settings!$C$18&gt;0),MAX(0,(2*MAX(BL44,Settings!$C$18)+1)*$C$39-BS44),MAX(0,Settings!$B$5-BS44)),"")</f>
        <v>0.00435897435897437</v>
      </c>
      <c r="BO44" s="0" t="n">
        <f aca="false">IF($B$39=1,IF(OR(BS44&gt;=Settings!$B$5,Settings!$C$18&gt;0),IF(BL44&lt;=Settings!$C$18,"Protected by electorates",IF(Settings!$C$18=0,MIN(BS44-(2*BL44-1)*$D$39,BS44-Settings!$B$5),BS44-(2*BL44-1)*$D$39)),""),"")</f>
        <v>0.00444444444444445</v>
      </c>
      <c r="BP44" s="0" t="n">
        <f aca="false">IF($B$39=1,IF(OR(BS44&gt;=Settings!$B$5,Settings!$C$18&gt;0),MAX(0,MIN(1,(BS44/$C$39-(2*MAX(BL44,Settings!$C$18)-1))/2)),MIN(1,BS44/Settings!$B$5)),"")</f>
        <v>0.46875</v>
      </c>
      <c r="BQ44" s="0" t="n">
        <f aca="false">IF(AND($B$39=1,COUNTIF(C44:BJ44,$C$39)&gt;0),1,0)</f>
        <v>0</v>
      </c>
      <c r="BR44" s="0" t="n">
        <f aca="false">IF(AND($B$39=1,COUNTIF(C44:BJ44,$D$39)&gt;0),1,0)</f>
        <v>0</v>
      </c>
      <c r="BS44" s="0" t="n">
        <f aca="false">N(IF(Polls!L10="",Polls!L37,Polls!L10))</f>
        <v>0.09</v>
      </c>
      <c r="BT44" s="0" t="str">
        <f aca="false">IF(OR(BS44&gt;=Settings!$B$5,Settings!$C$18&gt;0),"Next seat","Threshold")</f>
        <v>Next seat</v>
      </c>
    </row>
    <row r="45" customFormat="false" ht="15" hidden="false" customHeight="false" outlineLevel="0" collapsed="false">
      <c r="A45" s="0" t="s">
        <v>50</v>
      </c>
      <c r="B45" s="0" t="n">
        <f aca="false">IF(OR(BS45&gt;=Settings!$B$5,Settings!$C$19&gt;0),BS45,0)</f>
        <v>0.012</v>
      </c>
      <c r="C45" s="0" t="n">
        <f aca="false">$B45/C$1</f>
        <v>0.012</v>
      </c>
      <c r="D45" s="0" t="n">
        <f aca="false">$B45/D$1</f>
        <v>0.004</v>
      </c>
      <c r="E45" s="0" t="n">
        <f aca="false">$B45/E$1</f>
        <v>0.0024</v>
      </c>
      <c r="F45" s="0" t="n">
        <f aca="false">$B45/F$1</f>
        <v>0.00171428571428571</v>
      </c>
      <c r="G45" s="0" t="n">
        <f aca="false">$B45/G$1</f>
        <v>0.00133333333333333</v>
      </c>
      <c r="H45" s="0" t="n">
        <f aca="false">$B45/H$1</f>
        <v>0.00109090909090909</v>
      </c>
      <c r="I45" s="0" t="n">
        <f aca="false">$B45/I$1</f>
        <v>0.000923076923076923</v>
      </c>
      <c r="J45" s="0" t="n">
        <f aca="false">$B45/J$1</f>
        <v>0.0008</v>
      </c>
      <c r="K45" s="0" t="n">
        <f aca="false">$B45/K$1</f>
        <v>0.000705882352941177</v>
      </c>
      <c r="L45" s="0" t="n">
        <f aca="false">$B45/L$1</f>
        <v>0.000631578947368421</v>
      </c>
      <c r="M45" s="0" t="n">
        <f aca="false">$B45/M$1</f>
        <v>0.000571428571428572</v>
      </c>
      <c r="N45" s="0" t="n">
        <f aca="false">$B45/N$1</f>
        <v>0.000521739130434783</v>
      </c>
      <c r="O45" s="0" t="n">
        <f aca="false">$B45/O$1</f>
        <v>0.00048</v>
      </c>
      <c r="P45" s="0" t="n">
        <f aca="false">$B45/P$1</f>
        <v>0.000444444444444444</v>
      </c>
      <c r="Q45" s="0" t="n">
        <f aca="false">$B45/Q$1</f>
        <v>0.000413793103448276</v>
      </c>
      <c r="R45" s="0" t="n">
        <f aca="false">$B45/R$1</f>
        <v>0.000387096774193548</v>
      </c>
      <c r="S45" s="0" t="n">
        <f aca="false">$B45/S$1</f>
        <v>0.000363636363636364</v>
      </c>
      <c r="T45" s="0" t="n">
        <f aca="false">$B45/T$1</f>
        <v>0.000342857142857143</v>
      </c>
      <c r="U45" s="0" t="n">
        <f aca="false">$B45/U$1</f>
        <v>0.000324324324324324</v>
      </c>
      <c r="V45" s="0" t="n">
        <f aca="false">$B45/V$1</f>
        <v>0.000307692307692308</v>
      </c>
      <c r="W45" s="0" t="n">
        <f aca="false">$B45/W$1</f>
        <v>0.000292682926829268</v>
      </c>
      <c r="X45" s="0" t="n">
        <f aca="false">$B45/X$1</f>
        <v>0.00027906976744186</v>
      </c>
      <c r="Y45" s="0" t="n">
        <f aca="false">$B45/Y$1</f>
        <v>0.000266666666666667</v>
      </c>
      <c r="Z45" s="0" t="n">
        <f aca="false">$B45/Z$1</f>
        <v>0.00025531914893617</v>
      </c>
      <c r="AA45" s="0" t="n">
        <f aca="false">$B45/AA$1</f>
        <v>0.000244897959183673</v>
      </c>
      <c r="AB45" s="0" t="n">
        <f aca="false">$B45/AB$1</f>
        <v>0.000235294117647059</v>
      </c>
      <c r="AC45" s="0" t="n">
        <f aca="false">$B45/AC$1</f>
        <v>0.000226415094339623</v>
      </c>
      <c r="AD45" s="0" t="n">
        <f aca="false">$B45/AD$1</f>
        <v>0.000218181818181818</v>
      </c>
      <c r="AE45" s="0" t="n">
        <f aca="false">$B45/AE$1</f>
        <v>0.000210526315789474</v>
      </c>
      <c r="AF45" s="0" t="n">
        <f aca="false">$B45/AF$1</f>
        <v>0.000203389830508475</v>
      </c>
      <c r="AG45" s="0" t="n">
        <f aca="false">$B45/AG$1</f>
        <v>0.00019672131147541</v>
      </c>
      <c r="AH45" s="0" t="n">
        <f aca="false">$B45/AH$1</f>
        <v>0.00019047619047619</v>
      </c>
      <c r="AI45" s="0" t="n">
        <f aca="false">$B45/AI$1</f>
        <v>0.000184615384615385</v>
      </c>
      <c r="AJ45" s="0" t="n">
        <f aca="false">$B45/AJ$1</f>
        <v>0.00017910447761194</v>
      </c>
      <c r="AK45" s="0" t="n">
        <f aca="false">$B45/AK$1</f>
        <v>0.000173913043478261</v>
      </c>
      <c r="AL45" s="0" t="n">
        <f aca="false">$B45/AL$1</f>
        <v>0.000169014084507042</v>
      </c>
      <c r="AM45" s="0" t="n">
        <f aca="false">$B45/AM$1</f>
        <v>0.000164383561643836</v>
      </c>
      <c r="AN45" s="0" t="n">
        <f aca="false">$B45/AN$1</f>
        <v>0.00016</v>
      </c>
      <c r="AO45" s="0" t="n">
        <f aca="false">$B45/AO$1</f>
        <v>0.000155844155844156</v>
      </c>
      <c r="AP45" s="0" t="n">
        <f aca="false">$B45/AP$1</f>
        <v>0.000151898734177215</v>
      </c>
      <c r="AQ45" s="0" t="n">
        <f aca="false">$B45/AQ$1</f>
        <v>0.000148148148148148</v>
      </c>
      <c r="AR45" s="0" t="n">
        <f aca="false">$B45/AR$1</f>
        <v>0.000144578313253012</v>
      </c>
      <c r="AS45" s="0" t="n">
        <f aca="false">$B45/AS$1</f>
        <v>0.000141176470588235</v>
      </c>
      <c r="AT45" s="0" t="n">
        <f aca="false">$B45/AT$1</f>
        <v>0.000137931034482759</v>
      </c>
      <c r="AU45" s="0" t="n">
        <f aca="false">$B45/AU$1</f>
        <v>0.000134831460674157</v>
      </c>
      <c r="AV45" s="0" t="n">
        <f aca="false">$B45/AV$1</f>
        <v>0.000131868131868132</v>
      </c>
      <c r="AW45" s="0" t="n">
        <f aca="false">$B45/AW$1</f>
        <v>0.000129032258064516</v>
      </c>
      <c r="AX45" s="0" t="n">
        <f aca="false">$B45/AX$1</f>
        <v>0.000126315789473684</v>
      </c>
      <c r="AY45" s="0" t="n">
        <f aca="false">$B45/AY$1</f>
        <v>0.000123711340206186</v>
      </c>
      <c r="AZ45" s="0" t="n">
        <f aca="false">$B45/AZ$1</f>
        <v>0.000121212121212121</v>
      </c>
      <c r="BA45" s="0" t="n">
        <f aca="false">$B45/BA$1</f>
        <v>0.000118811881188119</v>
      </c>
      <c r="BB45" s="0" t="n">
        <f aca="false">$B45/BB$1</f>
        <v>0.000116504854368932</v>
      </c>
      <c r="BC45" s="0" t="n">
        <f aca="false">$B45/BC$1</f>
        <v>0.000114285714285714</v>
      </c>
      <c r="BD45" s="0" t="n">
        <f aca="false">$B45/BD$1</f>
        <v>0.00011214953271028</v>
      </c>
      <c r="BE45" s="0" t="n">
        <f aca="false">$B45/BE$1</f>
        <v>0.000110091743119266</v>
      </c>
      <c r="BF45" s="0" t="n">
        <f aca="false">$B45/BF$1</f>
        <v>0.000108108108108108</v>
      </c>
      <c r="BG45" s="0" t="n">
        <f aca="false">$B45/BG$1</f>
        <v>0.000106194690265487</v>
      </c>
      <c r="BH45" s="0" t="n">
        <f aca="false">$B45/BH$1</f>
        <v>0.000104347826086957</v>
      </c>
      <c r="BI45" s="0" t="n">
        <f aca="false">$B45/BI$1</f>
        <v>0.000102564102564103</v>
      </c>
      <c r="BJ45" s="0" t="n">
        <f aca="false">$B45/BJ$1</f>
        <v>0.000100840336134454</v>
      </c>
      <c r="BL45" s="0" t="n">
        <f aca="false">IF($B$39=1,COUNTIF(C45:BJ45,"&gt;="&amp;$C$39),0)</f>
        <v>1</v>
      </c>
      <c r="BM45" s="0" t="n">
        <f aca="false">IF($B$39=1,IF(OR(BS45&gt;=Settings!$B$5,Settings!$C$19&gt;0),MAX(BL45,Settings!$C$19),0),0)</f>
        <v>4</v>
      </c>
      <c r="BN45" s="0" t="n">
        <f aca="false">IF($B$39=1,IF(OR(BS45&gt;=Settings!$B$5,Settings!$C$19&gt;0),MAX(0,(2*MAX(BL45,Settings!$C$19)+1)*$C$39-BS45),MAX(0,Settings!$B$5-BS45)),"")</f>
        <v>0.0249230769230769</v>
      </c>
      <c r="BO45" s="0" t="str">
        <f aca="false">IF($B$39=1,IF(OR(BS45&gt;=Settings!$B$5,Settings!$C$19&gt;0),IF(BL45&lt;=Settings!$C$19,"Protected by electorates",IF(Settings!$C$19=0,MIN(BS45-(2*BL45-1)*$D$39,BS45-Settings!$B$5),BS45-(2*BL45-1)*$D$39)),""),"")</f>
        <v>Protected by electorates</v>
      </c>
      <c r="BP45" s="0" t="n">
        <f aca="false">IF($B$39=1,IF(OR(BS45&gt;=Settings!$B$5,Settings!$C$19&gt;0),MAX(0,MIN(1,(BS45/$C$39-(2*MAX(BL45,Settings!$C$19)-1))/2)),MIN(1,BS45/Settings!$B$5)),"")</f>
        <v>0</v>
      </c>
      <c r="BQ45" s="0" t="n">
        <f aca="false">IF(AND($B$39=1,COUNTIF(C45:BJ45,$C$39)&gt;0),1,0)</f>
        <v>0</v>
      </c>
      <c r="BR45" s="0" t="n">
        <f aca="false">IF(AND($B$39=1,COUNTIF(C45:BJ45,$D$39)&gt;0),1,0)</f>
        <v>0</v>
      </c>
      <c r="BS45" s="0" t="n">
        <f aca="false">N(IF(Polls!M10="",Polls!M37,Polls!M10))</f>
        <v>0.012</v>
      </c>
      <c r="BT45" s="0" t="str">
        <f aca="false">IF(OR(BS45&gt;=Settings!$B$5,Settings!$C$19&gt;0),"Next seat","Threshold")</f>
        <v>Next seat</v>
      </c>
    </row>
    <row r="46" customFormat="false" ht="15" hidden="false" customHeight="false" outlineLevel="0" collapsed="false">
      <c r="A46" s="0" t="s">
        <v>52</v>
      </c>
      <c r="B46" s="0" t="n">
        <f aca="false">IF(OR(BS46&gt;=Settings!$B$5,Settings!$C$20&gt;0),BS46,0)</f>
        <v>0.06</v>
      </c>
      <c r="C46" s="0" t="n">
        <f aca="false">$B46/C$1</f>
        <v>0.06</v>
      </c>
      <c r="D46" s="0" t="n">
        <f aca="false">$B46/D$1</f>
        <v>0.02</v>
      </c>
      <c r="E46" s="0" t="n">
        <f aca="false">$B46/E$1</f>
        <v>0.012</v>
      </c>
      <c r="F46" s="0" t="n">
        <f aca="false">$B46/F$1</f>
        <v>0.00857142857142857</v>
      </c>
      <c r="G46" s="0" t="n">
        <f aca="false">$B46/G$1</f>
        <v>0.00666666666666667</v>
      </c>
      <c r="H46" s="0" t="n">
        <f aca="false">$B46/H$1</f>
        <v>0.00545454545454545</v>
      </c>
      <c r="I46" s="0" t="n">
        <f aca="false">$B46/I$1</f>
        <v>0.00461538461538462</v>
      </c>
      <c r="J46" s="0" t="n">
        <f aca="false">$B46/J$1</f>
        <v>0.004</v>
      </c>
      <c r="K46" s="0" t="n">
        <f aca="false">$B46/K$1</f>
        <v>0.00352941176470588</v>
      </c>
      <c r="L46" s="0" t="n">
        <f aca="false">$B46/L$1</f>
        <v>0.00315789473684211</v>
      </c>
      <c r="M46" s="0" t="n">
        <f aca="false">$B46/M$1</f>
        <v>0.00285714285714286</v>
      </c>
      <c r="N46" s="0" t="n">
        <f aca="false">$B46/N$1</f>
        <v>0.00260869565217391</v>
      </c>
      <c r="O46" s="0" t="n">
        <f aca="false">$B46/O$1</f>
        <v>0.0024</v>
      </c>
      <c r="P46" s="0" t="n">
        <f aca="false">$B46/P$1</f>
        <v>0.00222222222222222</v>
      </c>
      <c r="Q46" s="0" t="n">
        <f aca="false">$B46/Q$1</f>
        <v>0.00206896551724138</v>
      </c>
      <c r="R46" s="0" t="n">
        <f aca="false">$B46/R$1</f>
        <v>0.00193548387096774</v>
      </c>
      <c r="S46" s="0" t="n">
        <f aca="false">$B46/S$1</f>
        <v>0.00181818181818182</v>
      </c>
      <c r="T46" s="0" t="n">
        <f aca="false">$B46/T$1</f>
        <v>0.00171428571428571</v>
      </c>
      <c r="U46" s="0" t="n">
        <f aca="false">$B46/U$1</f>
        <v>0.00162162162162162</v>
      </c>
      <c r="V46" s="0" t="n">
        <f aca="false">$B46/V$1</f>
        <v>0.00153846153846154</v>
      </c>
      <c r="W46" s="0" t="n">
        <f aca="false">$B46/W$1</f>
        <v>0.00146341463414634</v>
      </c>
      <c r="X46" s="0" t="n">
        <f aca="false">$B46/X$1</f>
        <v>0.0013953488372093</v>
      </c>
      <c r="Y46" s="0" t="n">
        <f aca="false">$B46/Y$1</f>
        <v>0.00133333333333333</v>
      </c>
      <c r="Z46" s="0" t="n">
        <f aca="false">$B46/Z$1</f>
        <v>0.00127659574468085</v>
      </c>
      <c r="AA46" s="0" t="n">
        <f aca="false">$B46/AA$1</f>
        <v>0.00122448979591837</v>
      </c>
      <c r="AB46" s="0" t="n">
        <f aca="false">$B46/AB$1</f>
        <v>0.00117647058823529</v>
      </c>
      <c r="AC46" s="0" t="n">
        <f aca="false">$B46/AC$1</f>
        <v>0.00113207547169811</v>
      </c>
      <c r="AD46" s="0" t="n">
        <f aca="false">$B46/AD$1</f>
        <v>0.00109090909090909</v>
      </c>
      <c r="AE46" s="0" t="n">
        <f aca="false">$B46/AE$1</f>
        <v>0.00105263157894737</v>
      </c>
      <c r="AF46" s="0" t="n">
        <f aca="false">$B46/AF$1</f>
        <v>0.00101694915254237</v>
      </c>
      <c r="AG46" s="0" t="n">
        <f aca="false">$B46/AG$1</f>
        <v>0.000983606557377049</v>
      </c>
      <c r="AH46" s="0" t="n">
        <f aca="false">$B46/AH$1</f>
        <v>0.000952380952380952</v>
      </c>
      <c r="AI46" s="0" t="n">
        <f aca="false">$B46/AI$1</f>
        <v>0.000923076923076923</v>
      </c>
      <c r="AJ46" s="0" t="n">
        <f aca="false">$B46/AJ$1</f>
        <v>0.000895522388059702</v>
      </c>
      <c r="AK46" s="0" t="n">
        <f aca="false">$B46/AK$1</f>
        <v>0.000869565217391304</v>
      </c>
      <c r="AL46" s="0" t="n">
        <f aca="false">$B46/AL$1</f>
        <v>0.000845070422535211</v>
      </c>
      <c r="AM46" s="0" t="n">
        <f aca="false">$B46/AM$1</f>
        <v>0.000821917808219178</v>
      </c>
      <c r="AN46" s="0" t="n">
        <f aca="false">$B46/AN$1</f>
        <v>0.0008</v>
      </c>
      <c r="AO46" s="0" t="n">
        <f aca="false">$B46/AO$1</f>
        <v>0.000779220779220779</v>
      </c>
      <c r="AP46" s="0" t="n">
        <f aca="false">$B46/AP$1</f>
        <v>0.000759493670886076</v>
      </c>
      <c r="AQ46" s="0" t="n">
        <f aca="false">$B46/AQ$1</f>
        <v>0.000740740740740741</v>
      </c>
      <c r="AR46" s="0" t="n">
        <f aca="false">$B46/AR$1</f>
        <v>0.00072289156626506</v>
      </c>
      <c r="AS46" s="0" t="n">
        <f aca="false">$B46/AS$1</f>
        <v>0.000705882352941176</v>
      </c>
      <c r="AT46" s="0" t="n">
        <f aca="false">$B46/AT$1</f>
        <v>0.000689655172413793</v>
      </c>
      <c r="AU46" s="0" t="n">
        <f aca="false">$B46/AU$1</f>
        <v>0.000674157303370787</v>
      </c>
      <c r="AV46" s="0" t="n">
        <f aca="false">$B46/AV$1</f>
        <v>0.000659340659340659</v>
      </c>
      <c r="AW46" s="0" t="n">
        <f aca="false">$B46/AW$1</f>
        <v>0.000645161290322581</v>
      </c>
      <c r="AX46" s="0" t="n">
        <f aca="false">$B46/AX$1</f>
        <v>0.000631578947368421</v>
      </c>
      <c r="AY46" s="0" t="n">
        <f aca="false">$B46/AY$1</f>
        <v>0.000618556701030928</v>
      </c>
      <c r="AZ46" s="0" t="n">
        <f aca="false">$B46/AZ$1</f>
        <v>0.000606060606060606</v>
      </c>
      <c r="BA46" s="0" t="n">
        <f aca="false">$B46/BA$1</f>
        <v>0.000594059405940594</v>
      </c>
      <c r="BB46" s="0" t="n">
        <f aca="false">$B46/BB$1</f>
        <v>0.00058252427184466</v>
      </c>
      <c r="BC46" s="0" t="n">
        <f aca="false">$B46/BC$1</f>
        <v>0.000571428571428571</v>
      </c>
      <c r="BD46" s="0" t="n">
        <f aca="false">$B46/BD$1</f>
        <v>0.000560747663551402</v>
      </c>
      <c r="BE46" s="0" t="n">
        <f aca="false">$B46/BE$1</f>
        <v>0.00055045871559633</v>
      </c>
      <c r="BF46" s="0" t="n">
        <f aca="false">$B46/BF$1</f>
        <v>0.000540540540540541</v>
      </c>
      <c r="BG46" s="0" t="n">
        <f aca="false">$B46/BG$1</f>
        <v>0.000530973451327434</v>
      </c>
      <c r="BH46" s="0" t="n">
        <f aca="false">$B46/BH$1</f>
        <v>0.000521739130434783</v>
      </c>
      <c r="BI46" s="0" t="n">
        <f aca="false">$B46/BI$1</f>
        <v>0.000512820512820513</v>
      </c>
      <c r="BJ46" s="0" t="n">
        <f aca="false">$B46/BJ$1</f>
        <v>0.000504201680672269</v>
      </c>
      <c r="BL46" s="0" t="n">
        <f aca="false">IF($B$39=1,COUNTIF(C46:BJ46,"&gt;="&amp;$C$39),0)</f>
        <v>7</v>
      </c>
      <c r="BM46" s="0" t="n">
        <f aca="false">IF($B$39=1,IF(OR(BS46&gt;=Settings!$B$5,Settings!$C$20&gt;0),MAX(BL46,Settings!$C$20),0),0)</f>
        <v>7</v>
      </c>
      <c r="BN46" s="0" t="n">
        <f aca="false">IF($B$39=1,IF(OR(BS46&gt;=Settings!$B$5,Settings!$C$20&gt;0),MAX(0,(2*MAX(BL46,Settings!$C$20)+1)*$C$39-BS46),MAX(0,Settings!$B$5-BS46)),"")</f>
        <v>0.00153846153846154</v>
      </c>
      <c r="BO46" s="0" t="n">
        <f aca="false">IF($B$39=1,IF(OR(BS46&gt;=Settings!$B$5,Settings!$C$20&gt;0),IF(BL46&lt;=Settings!$C$20,"Protected by electorates",IF(Settings!$C$20=0,MIN(BS46-(2*BL46-1)*$D$39,BS46-Settings!$B$5),BS46-(2*BL46-1)*$D$39)),""),"")</f>
        <v>0.00703703703703704</v>
      </c>
      <c r="BP46" s="0" t="n">
        <f aca="false">IF($B$39=1,IF(OR(BS46&gt;=Settings!$B$5,Settings!$C$20&gt;0),MAX(0,MIN(1,(BS46/$C$39-(2*MAX(BL46,Settings!$C$20)-1))/2)),MIN(1,BS46/Settings!$B$5)),"")</f>
        <v>0.8125</v>
      </c>
      <c r="BQ46" s="0" t="n">
        <f aca="false">IF(AND($B$39=1,COUNTIF(C46:BJ46,$C$39)&gt;0),1,0)</f>
        <v>0</v>
      </c>
      <c r="BR46" s="0" t="n">
        <f aca="false">IF(AND($B$39=1,COUNTIF(C46:BJ46,$D$39)&gt;0),1,0)</f>
        <v>0</v>
      </c>
      <c r="BS46" s="0" t="n">
        <f aca="false">N(IF(Polls!N10="",Polls!N37,Polls!N10))</f>
        <v>0.06</v>
      </c>
      <c r="BT46" s="0" t="str">
        <f aca="false">IF(OR(BS46&gt;=Settings!$B$5,Settings!$C$20&gt;0),"Next seat","Threshold")</f>
        <v>Next seat</v>
      </c>
    </row>
    <row r="48" customFormat="false" ht="15" hidden="false" customHeight="false" outlineLevel="0" collapsed="false">
      <c r="A48" s="41" t="str">
        <f aca="false">Polls!A11</f>
        <v>Roy Morgan Sep</v>
      </c>
      <c r="B48" s="17" t="n">
        <f aca="false">IF(SUM(BS49:BS55)&gt;0,1,0)</f>
        <v>1</v>
      </c>
      <c r="C48" s="17" t="n">
        <f aca="false">IF(B48=1,LARGE(C49:BJ55,Settings!$B$4),0)</f>
        <v>0.00413333333333333</v>
      </c>
      <c r="D48" s="17" t="n">
        <f aca="false">IF(B48=1,LARGE(C49:BJ55,Settings!$B$4+1),0)</f>
        <v>0.00412280701754386</v>
      </c>
      <c r="E48" s="0" t="str">
        <f aca="false">IF(B48=1,IFERROR(INDEX(A49:A55,MATCH(1,BQ49:BQ55,0)),""),"")</f>
        <v>NAT</v>
      </c>
      <c r="F48" s="0" t="str">
        <f aca="false">IF(B48=1,IFERROR(INDEX(A49:A55,MATCH(1,BR49:BR55,0)),""),"")</f>
        <v>LAB</v>
      </c>
      <c r="G48" s="17" t="n">
        <f aca="false">IF(B48=1,SUM(BM49:BM55)+Settings!$B$10,"")</f>
        <v>122</v>
      </c>
    </row>
    <row r="49" customFormat="false" ht="15" hidden="false" customHeight="false" outlineLevel="0" collapsed="false">
      <c r="A49" s="0" t="s">
        <v>41</v>
      </c>
      <c r="B49" s="0" t="n">
        <f aca="false">IF(OR(BS49&gt;=Settings!$B$5,Settings!$C$14&gt;0),BS49,0)</f>
        <v>0.31</v>
      </c>
      <c r="C49" s="0" t="n">
        <f aca="false">$B49/C$1</f>
        <v>0.31</v>
      </c>
      <c r="D49" s="0" t="n">
        <f aca="false">$B49/D$1</f>
        <v>0.103333333333333</v>
      </c>
      <c r="E49" s="0" t="n">
        <f aca="false">$B49/E$1</f>
        <v>0.062</v>
      </c>
      <c r="F49" s="0" t="n">
        <f aca="false">$B49/F$1</f>
        <v>0.0442857142857143</v>
      </c>
      <c r="G49" s="0" t="n">
        <f aca="false">$B49/G$1</f>
        <v>0.0344444444444444</v>
      </c>
      <c r="H49" s="0" t="n">
        <f aca="false">$B49/H$1</f>
        <v>0.0281818181818182</v>
      </c>
      <c r="I49" s="0" t="n">
        <f aca="false">$B49/I$1</f>
        <v>0.0238461538461538</v>
      </c>
      <c r="J49" s="0" t="n">
        <f aca="false">$B49/J$1</f>
        <v>0.0206666666666667</v>
      </c>
      <c r="K49" s="0" t="n">
        <f aca="false">$B49/K$1</f>
        <v>0.0182352941176471</v>
      </c>
      <c r="L49" s="0" t="n">
        <f aca="false">$B49/L$1</f>
        <v>0.0163157894736842</v>
      </c>
      <c r="M49" s="0" t="n">
        <f aca="false">$B49/M$1</f>
        <v>0.0147619047619048</v>
      </c>
      <c r="N49" s="0" t="n">
        <f aca="false">$B49/N$1</f>
        <v>0.0134782608695652</v>
      </c>
      <c r="O49" s="0" t="n">
        <f aca="false">$B49/O$1</f>
        <v>0.0124</v>
      </c>
      <c r="P49" s="0" t="n">
        <f aca="false">$B49/P$1</f>
        <v>0.0114814814814815</v>
      </c>
      <c r="Q49" s="0" t="n">
        <f aca="false">$B49/Q$1</f>
        <v>0.0106896551724138</v>
      </c>
      <c r="R49" s="0" t="n">
        <f aca="false">$B49/R$1</f>
        <v>0.01</v>
      </c>
      <c r="S49" s="0" t="n">
        <f aca="false">$B49/S$1</f>
        <v>0.00939393939393939</v>
      </c>
      <c r="T49" s="0" t="n">
        <f aca="false">$B49/T$1</f>
        <v>0.00885714285714286</v>
      </c>
      <c r="U49" s="0" t="n">
        <f aca="false">$B49/U$1</f>
        <v>0.00837837837837838</v>
      </c>
      <c r="V49" s="0" t="n">
        <f aca="false">$B49/V$1</f>
        <v>0.00794871794871795</v>
      </c>
      <c r="W49" s="0" t="n">
        <f aca="false">$B49/W$1</f>
        <v>0.0075609756097561</v>
      </c>
      <c r="X49" s="0" t="n">
        <f aca="false">$B49/X$1</f>
        <v>0.0072093023255814</v>
      </c>
      <c r="Y49" s="0" t="n">
        <f aca="false">$B49/Y$1</f>
        <v>0.00688888888888889</v>
      </c>
      <c r="Z49" s="0" t="n">
        <f aca="false">$B49/Z$1</f>
        <v>0.00659574468085106</v>
      </c>
      <c r="AA49" s="0" t="n">
        <f aca="false">$B49/AA$1</f>
        <v>0.0063265306122449</v>
      </c>
      <c r="AB49" s="0" t="n">
        <f aca="false">$B49/AB$1</f>
        <v>0.00607843137254902</v>
      </c>
      <c r="AC49" s="0" t="n">
        <f aca="false">$B49/AC$1</f>
        <v>0.00584905660377359</v>
      </c>
      <c r="AD49" s="0" t="n">
        <f aca="false">$B49/AD$1</f>
        <v>0.00563636363636364</v>
      </c>
      <c r="AE49" s="0" t="n">
        <f aca="false">$B49/AE$1</f>
        <v>0.00543859649122807</v>
      </c>
      <c r="AF49" s="0" t="n">
        <f aca="false">$B49/AF$1</f>
        <v>0.00525423728813559</v>
      </c>
      <c r="AG49" s="0" t="n">
        <f aca="false">$B49/AG$1</f>
        <v>0.00508196721311475</v>
      </c>
      <c r="AH49" s="0" t="n">
        <f aca="false">$B49/AH$1</f>
        <v>0.00492063492063492</v>
      </c>
      <c r="AI49" s="0" t="n">
        <f aca="false">$B49/AI$1</f>
        <v>0.00476923076923077</v>
      </c>
      <c r="AJ49" s="0" t="n">
        <f aca="false">$B49/AJ$1</f>
        <v>0.00462686567164179</v>
      </c>
      <c r="AK49" s="0" t="n">
        <f aca="false">$B49/AK$1</f>
        <v>0.00449275362318841</v>
      </c>
      <c r="AL49" s="0" t="n">
        <f aca="false">$B49/AL$1</f>
        <v>0.00436619718309859</v>
      </c>
      <c r="AM49" s="0" t="n">
        <f aca="false">$B49/AM$1</f>
        <v>0.00424657534246575</v>
      </c>
      <c r="AN49" s="0" t="n">
        <f aca="false">$B49/AN$1</f>
        <v>0.00413333333333333</v>
      </c>
      <c r="AO49" s="0" t="n">
        <f aca="false">$B49/AO$1</f>
        <v>0.00402597402597403</v>
      </c>
      <c r="AP49" s="0" t="n">
        <f aca="false">$B49/AP$1</f>
        <v>0.00392405063291139</v>
      </c>
      <c r="AQ49" s="0" t="n">
        <f aca="false">$B49/AQ$1</f>
        <v>0.00382716049382716</v>
      </c>
      <c r="AR49" s="0" t="n">
        <f aca="false">$B49/AR$1</f>
        <v>0.00373493975903614</v>
      </c>
      <c r="AS49" s="0" t="n">
        <f aca="false">$B49/AS$1</f>
        <v>0.00364705882352941</v>
      </c>
      <c r="AT49" s="0" t="n">
        <f aca="false">$B49/AT$1</f>
        <v>0.0035632183908046</v>
      </c>
      <c r="AU49" s="0" t="n">
        <f aca="false">$B49/AU$1</f>
        <v>0.00348314606741573</v>
      </c>
      <c r="AV49" s="0" t="n">
        <f aca="false">$B49/AV$1</f>
        <v>0.00340659340659341</v>
      </c>
      <c r="AW49" s="0" t="n">
        <f aca="false">$B49/AW$1</f>
        <v>0.00333333333333333</v>
      </c>
      <c r="AX49" s="0" t="n">
        <f aca="false">$B49/AX$1</f>
        <v>0.00326315789473684</v>
      </c>
      <c r="AY49" s="0" t="n">
        <f aca="false">$B49/AY$1</f>
        <v>0.00319587628865979</v>
      </c>
      <c r="AZ49" s="0" t="n">
        <f aca="false">$B49/AZ$1</f>
        <v>0.00313131313131313</v>
      </c>
      <c r="BA49" s="0" t="n">
        <f aca="false">$B49/BA$1</f>
        <v>0.00306930693069307</v>
      </c>
      <c r="BB49" s="0" t="n">
        <f aca="false">$B49/BB$1</f>
        <v>0.00300970873786408</v>
      </c>
      <c r="BC49" s="0" t="n">
        <f aca="false">$B49/BC$1</f>
        <v>0.00295238095238095</v>
      </c>
      <c r="BD49" s="0" t="n">
        <f aca="false">$B49/BD$1</f>
        <v>0.00289719626168224</v>
      </c>
      <c r="BE49" s="0" t="n">
        <f aca="false">$B49/BE$1</f>
        <v>0.00284403669724771</v>
      </c>
      <c r="BF49" s="0" t="n">
        <f aca="false">$B49/BF$1</f>
        <v>0.00279279279279279</v>
      </c>
      <c r="BG49" s="0" t="n">
        <f aca="false">$B49/BG$1</f>
        <v>0.00274336283185841</v>
      </c>
      <c r="BH49" s="0" t="n">
        <f aca="false">$B49/BH$1</f>
        <v>0.00269565217391304</v>
      </c>
      <c r="BI49" s="0" t="n">
        <f aca="false">$B49/BI$1</f>
        <v>0.00264957264957265</v>
      </c>
      <c r="BJ49" s="0" t="n">
        <f aca="false">$B49/BJ$1</f>
        <v>0.00260504201680672</v>
      </c>
      <c r="BL49" s="0" t="n">
        <f aca="false">IF($B$48=1,COUNTIF(C49:BJ49,"&gt;="&amp;$C$48),0)</f>
        <v>38</v>
      </c>
      <c r="BM49" s="0" t="n">
        <f aca="false">IF($B$48=1,IF(OR(BS49&gt;=Settings!$B$5,Settings!$C$14&gt;0),MAX(BL49,Settings!$C$14),0),0)</f>
        <v>38</v>
      </c>
      <c r="BN49" s="0" t="n">
        <f aca="false">IF($B$48=1,IF(OR(BS49&gt;=Settings!$B$5,Settings!$C$14&gt;0),MAX(0,(2*MAX(BL49,Settings!$C$14)+1)*$C$48-BS49),MAX(0,Settings!$B$5-BS49)),"")</f>
        <v>0.0082666666666667</v>
      </c>
      <c r="BO49" s="0" t="n">
        <f aca="false">IF($B$48=1,IF(OR(BS49&gt;=Settings!$B$5,Settings!$C$14&gt;0),IF(BL49&lt;=Settings!$C$14,"Protected by electorates",IF(Settings!$C$14=0,MIN(BS49-(2*BL49-1)*$D$48,BS49-Settings!$B$5),BS49-(2*BL49-1)*$D$48)),""),"")</f>
        <v>0.000789473684210507</v>
      </c>
      <c r="BP49" s="0" t="n">
        <f aca="false">IF($B$48=1,IF(OR(BS49&gt;=Settings!$B$5,Settings!$C$14&gt;0),MAX(0,MIN(1,(BS49/$C$48-(2*MAX(BL49,Settings!$C$14)-1))/2)),MIN(1,BS49/Settings!$B$5)),"")</f>
        <v>0</v>
      </c>
      <c r="BQ49" s="0" t="n">
        <f aca="false">IF(AND($B$48=1,COUNTIF(C49:BJ49,$C$48)&gt;0),1,0)</f>
        <v>1</v>
      </c>
      <c r="BR49" s="0" t="n">
        <f aca="false">IF(AND($B$48=1,COUNTIF(C49:BJ49,$D$48)&gt;0),1,0)</f>
        <v>0</v>
      </c>
      <c r="BS49" s="0" t="n">
        <f aca="false">N(IF(Polls!H11="",Polls!H37,Polls!H11))</f>
        <v>0.31</v>
      </c>
      <c r="BT49" s="0" t="str">
        <f aca="false">IF(OR(BS49&gt;=Settings!$B$5,Settings!$C$14&gt;0),"Next seat","Threshold")</f>
        <v>Next seat</v>
      </c>
    </row>
    <row r="50" customFormat="false" ht="15" hidden="false" customHeight="false" outlineLevel="0" collapsed="false">
      <c r="A50" s="0" t="s">
        <v>43</v>
      </c>
      <c r="B50" s="0" t="n">
        <f aca="false">IF(OR(BS50&gt;=Settings!$B$5,Settings!$C$15&gt;0),BS50,0)</f>
        <v>0.235</v>
      </c>
      <c r="C50" s="0" t="n">
        <f aca="false">$B50/C$1</f>
        <v>0.235</v>
      </c>
      <c r="D50" s="0" t="n">
        <f aca="false">$B50/D$1</f>
        <v>0.0783333333333333</v>
      </c>
      <c r="E50" s="0" t="n">
        <f aca="false">$B50/E$1</f>
        <v>0.047</v>
      </c>
      <c r="F50" s="0" t="n">
        <f aca="false">$B50/F$1</f>
        <v>0.0335714285714286</v>
      </c>
      <c r="G50" s="0" t="n">
        <f aca="false">$B50/G$1</f>
        <v>0.0261111111111111</v>
      </c>
      <c r="H50" s="0" t="n">
        <f aca="false">$B50/H$1</f>
        <v>0.0213636363636364</v>
      </c>
      <c r="I50" s="0" t="n">
        <f aca="false">$B50/I$1</f>
        <v>0.0180769230769231</v>
      </c>
      <c r="J50" s="0" t="n">
        <f aca="false">$B50/J$1</f>
        <v>0.0156666666666667</v>
      </c>
      <c r="K50" s="0" t="n">
        <f aca="false">$B50/K$1</f>
        <v>0.0138235294117647</v>
      </c>
      <c r="L50" s="0" t="n">
        <f aca="false">$B50/L$1</f>
        <v>0.0123684210526316</v>
      </c>
      <c r="M50" s="0" t="n">
        <f aca="false">$B50/M$1</f>
        <v>0.0111904761904762</v>
      </c>
      <c r="N50" s="0" t="n">
        <f aca="false">$B50/N$1</f>
        <v>0.0102173913043478</v>
      </c>
      <c r="O50" s="0" t="n">
        <f aca="false">$B50/O$1</f>
        <v>0.0094</v>
      </c>
      <c r="P50" s="0" t="n">
        <f aca="false">$B50/P$1</f>
        <v>0.0087037037037037</v>
      </c>
      <c r="Q50" s="0" t="n">
        <f aca="false">$B50/Q$1</f>
        <v>0.00810344827586207</v>
      </c>
      <c r="R50" s="0" t="n">
        <f aca="false">$B50/R$1</f>
        <v>0.00758064516129032</v>
      </c>
      <c r="S50" s="0" t="n">
        <f aca="false">$B50/S$1</f>
        <v>0.00712121212121212</v>
      </c>
      <c r="T50" s="0" t="n">
        <f aca="false">$B50/T$1</f>
        <v>0.00671428571428571</v>
      </c>
      <c r="U50" s="0" t="n">
        <f aca="false">$B50/U$1</f>
        <v>0.00635135135135135</v>
      </c>
      <c r="V50" s="0" t="n">
        <f aca="false">$B50/V$1</f>
        <v>0.00602564102564103</v>
      </c>
      <c r="W50" s="0" t="n">
        <f aca="false">$B50/W$1</f>
        <v>0.00573170731707317</v>
      </c>
      <c r="X50" s="0" t="n">
        <f aca="false">$B50/X$1</f>
        <v>0.00546511627906977</v>
      </c>
      <c r="Y50" s="0" t="n">
        <f aca="false">$B50/Y$1</f>
        <v>0.00522222222222222</v>
      </c>
      <c r="Z50" s="0" t="n">
        <f aca="false">$B50/Z$1</f>
        <v>0.005</v>
      </c>
      <c r="AA50" s="0" t="n">
        <f aca="false">$B50/AA$1</f>
        <v>0.00479591836734694</v>
      </c>
      <c r="AB50" s="0" t="n">
        <f aca="false">$B50/AB$1</f>
        <v>0.0046078431372549</v>
      </c>
      <c r="AC50" s="0" t="n">
        <f aca="false">$B50/AC$1</f>
        <v>0.00443396226415094</v>
      </c>
      <c r="AD50" s="0" t="n">
        <f aca="false">$B50/AD$1</f>
        <v>0.00427272727272727</v>
      </c>
      <c r="AE50" s="0" t="n">
        <f aca="false">$B50/AE$1</f>
        <v>0.00412280701754386</v>
      </c>
      <c r="AF50" s="0" t="n">
        <f aca="false">$B50/AF$1</f>
        <v>0.00398305084745763</v>
      </c>
      <c r="AG50" s="0" t="n">
        <f aca="false">$B50/AG$1</f>
        <v>0.00385245901639344</v>
      </c>
      <c r="AH50" s="0" t="n">
        <f aca="false">$B50/AH$1</f>
        <v>0.00373015873015873</v>
      </c>
      <c r="AI50" s="0" t="n">
        <f aca="false">$B50/AI$1</f>
        <v>0.00361538461538462</v>
      </c>
      <c r="AJ50" s="0" t="n">
        <f aca="false">$B50/AJ$1</f>
        <v>0.00350746268656716</v>
      </c>
      <c r="AK50" s="0" t="n">
        <f aca="false">$B50/AK$1</f>
        <v>0.00340579710144928</v>
      </c>
      <c r="AL50" s="0" t="n">
        <f aca="false">$B50/AL$1</f>
        <v>0.00330985915492958</v>
      </c>
      <c r="AM50" s="0" t="n">
        <f aca="false">$B50/AM$1</f>
        <v>0.00321917808219178</v>
      </c>
      <c r="AN50" s="0" t="n">
        <f aca="false">$B50/AN$1</f>
        <v>0.00313333333333333</v>
      </c>
      <c r="AO50" s="0" t="n">
        <f aca="false">$B50/AO$1</f>
        <v>0.00305194805194805</v>
      </c>
      <c r="AP50" s="0" t="n">
        <f aca="false">$B50/AP$1</f>
        <v>0.0029746835443038</v>
      </c>
      <c r="AQ50" s="0" t="n">
        <f aca="false">$B50/AQ$1</f>
        <v>0.00290123456790123</v>
      </c>
      <c r="AR50" s="0" t="n">
        <f aca="false">$B50/AR$1</f>
        <v>0.00283132530120482</v>
      </c>
      <c r="AS50" s="0" t="n">
        <f aca="false">$B50/AS$1</f>
        <v>0.00276470588235294</v>
      </c>
      <c r="AT50" s="0" t="n">
        <f aca="false">$B50/AT$1</f>
        <v>0.00270114942528736</v>
      </c>
      <c r="AU50" s="0" t="n">
        <f aca="false">$B50/AU$1</f>
        <v>0.00264044943820225</v>
      </c>
      <c r="AV50" s="0" t="n">
        <f aca="false">$B50/AV$1</f>
        <v>0.00258241758241758</v>
      </c>
      <c r="AW50" s="0" t="n">
        <f aca="false">$B50/AW$1</f>
        <v>0.00252688172043011</v>
      </c>
      <c r="AX50" s="0" t="n">
        <f aca="false">$B50/AX$1</f>
        <v>0.00247368421052632</v>
      </c>
      <c r="AY50" s="0" t="n">
        <f aca="false">$B50/AY$1</f>
        <v>0.00242268041237113</v>
      </c>
      <c r="AZ50" s="0" t="n">
        <f aca="false">$B50/AZ$1</f>
        <v>0.00237373737373737</v>
      </c>
      <c r="BA50" s="0" t="n">
        <f aca="false">$B50/BA$1</f>
        <v>0.00232673267326733</v>
      </c>
      <c r="BB50" s="0" t="n">
        <f aca="false">$B50/BB$1</f>
        <v>0.00228155339805825</v>
      </c>
      <c r="BC50" s="0" t="n">
        <f aca="false">$B50/BC$1</f>
        <v>0.00223809523809524</v>
      </c>
      <c r="BD50" s="0" t="n">
        <f aca="false">$B50/BD$1</f>
        <v>0.00219626168224299</v>
      </c>
      <c r="BE50" s="0" t="n">
        <f aca="false">$B50/BE$1</f>
        <v>0.00215596330275229</v>
      </c>
      <c r="BF50" s="0" t="n">
        <f aca="false">$B50/BF$1</f>
        <v>0.00211711711711712</v>
      </c>
      <c r="BG50" s="0" t="n">
        <f aca="false">$B50/BG$1</f>
        <v>0.00207964601769912</v>
      </c>
      <c r="BH50" s="0" t="n">
        <f aca="false">$B50/BH$1</f>
        <v>0.00204347826086957</v>
      </c>
      <c r="BI50" s="0" t="n">
        <f aca="false">$B50/BI$1</f>
        <v>0.00200854700854701</v>
      </c>
      <c r="BJ50" s="0" t="n">
        <f aca="false">$B50/BJ$1</f>
        <v>0.00197478991596639</v>
      </c>
      <c r="BL50" s="0" t="n">
        <f aca="false">IF($B$48=1,COUNTIF(C50:BJ50,"&gt;="&amp;$C$48),0)</f>
        <v>28</v>
      </c>
      <c r="BM50" s="0" t="n">
        <f aca="false">IF($B$48=1,IF(OR(BS50&gt;=Settings!$B$5,Settings!$C$15&gt;0),MAX(BL50,Settings!$C$15),0),0)</f>
        <v>28</v>
      </c>
      <c r="BN50" s="0" t="n">
        <f aca="false">IF($B$48=1,IF(OR(BS50&gt;=Settings!$B$5,Settings!$C$15&gt;0),MAX(0,(2*MAX(BL50,Settings!$C$15)+1)*$C$48-BS50),MAX(0,Settings!$B$5-BS50)),"")</f>
        <v>0.000600000000000017</v>
      </c>
      <c r="BO50" s="0" t="n">
        <f aca="false">IF($B$48=1,IF(OR(BS50&gt;=Settings!$B$5,Settings!$C$15&gt;0),IF(BL50&lt;=Settings!$C$15,"Protected by electorates",IF(Settings!$C$15=0,MIN(BS50-(2*BL50-1)*$D$48,BS50-Settings!$B$5),BS50-(2*BL50-1)*$D$48)),""),"")</f>
        <v>0.0082456140350877</v>
      </c>
      <c r="BP50" s="0" t="n">
        <f aca="false">IF($B$48=1,IF(OR(BS50&gt;=Settings!$B$5,Settings!$C$15&gt;0),MAX(0,MIN(1,(BS50/$C$48-(2*MAX(BL50,Settings!$C$15)-1))/2)),MIN(1,BS50/Settings!$B$5)),"")</f>
        <v>0.927419354838708</v>
      </c>
      <c r="BQ50" s="0" t="n">
        <f aca="false">IF(AND($B$48=1,COUNTIF(C50:BJ50,$C$48)&gt;0),1,0)</f>
        <v>0</v>
      </c>
      <c r="BR50" s="0" t="n">
        <f aca="false">IF(AND($B$48=1,COUNTIF(C50:BJ50,$D$48)&gt;0),1,0)</f>
        <v>1</v>
      </c>
      <c r="BS50" s="0" t="n">
        <f aca="false">N(IF(Polls!I11="",Polls!I37,Polls!I11))</f>
        <v>0.235</v>
      </c>
      <c r="BT50" s="0" t="str">
        <f aca="false">IF(OR(BS50&gt;=Settings!$B$5,Settings!$C$15&gt;0),"Next seat","Threshold")</f>
        <v>Next seat</v>
      </c>
    </row>
    <row r="51" customFormat="false" ht="15" hidden="false" customHeight="false" outlineLevel="0" collapsed="false">
      <c r="A51" s="0" t="s">
        <v>45</v>
      </c>
      <c r="B51" s="0" t="n">
        <f aca="false">IF(OR(BS51&gt;=Settings!$B$5,Settings!$C$16&gt;0),BS51,0)</f>
        <v>0.16</v>
      </c>
      <c r="C51" s="0" t="n">
        <f aca="false">$B51/C$1</f>
        <v>0.16</v>
      </c>
      <c r="D51" s="0" t="n">
        <f aca="false">$B51/D$1</f>
        <v>0.0533333333333333</v>
      </c>
      <c r="E51" s="0" t="n">
        <f aca="false">$B51/E$1</f>
        <v>0.032</v>
      </c>
      <c r="F51" s="0" t="n">
        <f aca="false">$B51/F$1</f>
        <v>0.0228571428571429</v>
      </c>
      <c r="G51" s="0" t="n">
        <f aca="false">$B51/G$1</f>
        <v>0.0177777777777778</v>
      </c>
      <c r="H51" s="0" t="n">
        <f aca="false">$B51/H$1</f>
        <v>0.0145454545454545</v>
      </c>
      <c r="I51" s="0" t="n">
        <f aca="false">$B51/I$1</f>
        <v>0.0123076923076923</v>
      </c>
      <c r="J51" s="0" t="n">
        <f aca="false">$B51/J$1</f>
        <v>0.0106666666666667</v>
      </c>
      <c r="K51" s="0" t="n">
        <f aca="false">$B51/K$1</f>
        <v>0.00941176470588235</v>
      </c>
      <c r="L51" s="0" t="n">
        <f aca="false">$B51/L$1</f>
        <v>0.00842105263157895</v>
      </c>
      <c r="M51" s="0" t="n">
        <f aca="false">$B51/M$1</f>
        <v>0.00761904761904762</v>
      </c>
      <c r="N51" s="0" t="n">
        <f aca="false">$B51/N$1</f>
        <v>0.00695652173913044</v>
      </c>
      <c r="O51" s="0" t="n">
        <f aca="false">$B51/O$1</f>
        <v>0.0064</v>
      </c>
      <c r="P51" s="0" t="n">
        <f aca="false">$B51/P$1</f>
        <v>0.00592592592592593</v>
      </c>
      <c r="Q51" s="0" t="n">
        <f aca="false">$B51/Q$1</f>
        <v>0.00551724137931035</v>
      </c>
      <c r="R51" s="0" t="n">
        <f aca="false">$B51/R$1</f>
        <v>0.00516129032258065</v>
      </c>
      <c r="S51" s="0" t="n">
        <f aca="false">$B51/S$1</f>
        <v>0.00484848484848485</v>
      </c>
      <c r="T51" s="0" t="n">
        <f aca="false">$B51/T$1</f>
        <v>0.00457142857142857</v>
      </c>
      <c r="U51" s="0" t="n">
        <f aca="false">$B51/U$1</f>
        <v>0.00432432432432432</v>
      </c>
      <c r="V51" s="0" t="n">
        <f aca="false">$B51/V$1</f>
        <v>0.0041025641025641</v>
      </c>
      <c r="W51" s="0" t="n">
        <f aca="false">$B51/W$1</f>
        <v>0.00390243902439024</v>
      </c>
      <c r="X51" s="0" t="n">
        <f aca="false">$B51/X$1</f>
        <v>0.00372093023255814</v>
      </c>
      <c r="Y51" s="0" t="n">
        <f aca="false">$B51/Y$1</f>
        <v>0.00355555555555556</v>
      </c>
      <c r="Z51" s="0" t="n">
        <f aca="false">$B51/Z$1</f>
        <v>0.00340425531914894</v>
      </c>
      <c r="AA51" s="0" t="n">
        <f aca="false">$B51/AA$1</f>
        <v>0.00326530612244898</v>
      </c>
      <c r="AB51" s="0" t="n">
        <f aca="false">$B51/AB$1</f>
        <v>0.00313725490196078</v>
      </c>
      <c r="AC51" s="0" t="n">
        <f aca="false">$B51/AC$1</f>
        <v>0.0030188679245283</v>
      </c>
      <c r="AD51" s="0" t="n">
        <f aca="false">$B51/AD$1</f>
        <v>0.00290909090909091</v>
      </c>
      <c r="AE51" s="0" t="n">
        <f aca="false">$B51/AE$1</f>
        <v>0.00280701754385965</v>
      </c>
      <c r="AF51" s="0" t="n">
        <f aca="false">$B51/AF$1</f>
        <v>0.00271186440677966</v>
      </c>
      <c r="AG51" s="0" t="n">
        <f aca="false">$B51/AG$1</f>
        <v>0.00262295081967213</v>
      </c>
      <c r="AH51" s="0" t="n">
        <f aca="false">$B51/AH$1</f>
        <v>0.00253968253968254</v>
      </c>
      <c r="AI51" s="0" t="n">
        <f aca="false">$B51/AI$1</f>
        <v>0.00246153846153846</v>
      </c>
      <c r="AJ51" s="0" t="n">
        <f aca="false">$B51/AJ$1</f>
        <v>0.00238805970149254</v>
      </c>
      <c r="AK51" s="0" t="n">
        <f aca="false">$B51/AK$1</f>
        <v>0.00231884057971015</v>
      </c>
      <c r="AL51" s="0" t="n">
        <f aca="false">$B51/AL$1</f>
        <v>0.00225352112676056</v>
      </c>
      <c r="AM51" s="0" t="n">
        <f aca="false">$B51/AM$1</f>
        <v>0.00219178082191781</v>
      </c>
      <c r="AN51" s="0" t="n">
        <f aca="false">$B51/AN$1</f>
        <v>0.00213333333333333</v>
      </c>
      <c r="AO51" s="0" t="n">
        <f aca="false">$B51/AO$1</f>
        <v>0.00207792207792208</v>
      </c>
      <c r="AP51" s="0" t="n">
        <f aca="false">$B51/AP$1</f>
        <v>0.0020253164556962</v>
      </c>
      <c r="AQ51" s="0" t="n">
        <f aca="false">$B51/AQ$1</f>
        <v>0.00197530864197531</v>
      </c>
      <c r="AR51" s="0" t="n">
        <f aca="false">$B51/AR$1</f>
        <v>0.00192771084337349</v>
      </c>
      <c r="AS51" s="0" t="n">
        <f aca="false">$B51/AS$1</f>
        <v>0.00188235294117647</v>
      </c>
      <c r="AT51" s="0" t="n">
        <f aca="false">$B51/AT$1</f>
        <v>0.00183908045977011</v>
      </c>
      <c r="AU51" s="0" t="n">
        <f aca="false">$B51/AU$1</f>
        <v>0.00179775280898876</v>
      </c>
      <c r="AV51" s="0" t="n">
        <f aca="false">$B51/AV$1</f>
        <v>0.00175824175824176</v>
      </c>
      <c r="AW51" s="0" t="n">
        <f aca="false">$B51/AW$1</f>
        <v>0.00172043010752688</v>
      </c>
      <c r="AX51" s="0" t="n">
        <f aca="false">$B51/AX$1</f>
        <v>0.00168421052631579</v>
      </c>
      <c r="AY51" s="0" t="n">
        <f aca="false">$B51/AY$1</f>
        <v>0.00164948453608247</v>
      </c>
      <c r="AZ51" s="0" t="n">
        <f aca="false">$B51/AZ$1</f>
        <v>0.00161616161616162</v>
      </c>
      <c r="BA51" s="0" t="n">
        <f aca="false">$B51/BA$1</f>
        <v>0.00158415841584158</v>
      </c>
      <c r="BB51" s="0" t="n">
        <f aca="false">$B51/BB$1</f>
        <v>0.00155339805825243</v>
      </c>
      <c r="BC51" s="0" t="n">
        <f aca="false">$B51/BC$1</f>
        <v>0.00152380952380952</v>
      </c>
      <c r="BD51" s="0" t="n">
        <f aca="false">$B51/BD$1</f>
        <v>0.00149532710280374</v>
      </c>
      <c r="BE51" s="0" t="n">
        <f aca="false">$B51/BE$1</f>
        <v>0.00146788990825688</v>
      </c>
      <c r="BF51" s="0" t="n">
        <f aca="false">$B51/BF$1</f>
        <v>0.00144144144144144</v>
      </c>
      <c r="BG51" s="0" t="n">
        <f aca="false">$B51/BG$1</f>
        <v>0.00141592920353982</v>
      </c>
      <c r="BH51" s="0" t="n">
        <f aca="false">$B51/BH$1</f>
        <v>0.00139130434782609</v>
      </c>
      <c r="BI51" s="0" t="n">
        <f aca="false">$B51/BI$1</f>
        <v>0.00136752136752137</v>
      </c>
      <c r="BJ51" s="0" t="n">
        <f aca="false">$B51/BJ$1</f>
        <v>0.00134453781512605</v>
      </c>
      <c r="BL51" s="0" t="n">
        <f aca="false">IF($B$48=1,COUNTIF(C51:BJ51,"&gt;="&amp;$C$48),0)</f>
        <v>19</v>
      </c>
      <c r="BM51" s="0" t="n">
        <f aca="false">IF($B$48=1,IF(OR(BS51&gt;=Settings!$B$5,Settings!$C$16&gt;0),MAX(BL51,Settings!$C$16),0),0)</f>
        <v>19</v>
      </c>
      <c r="BN51" s="0" t="n">
        <f aca="false">IF($B$48=1,IF(OR(BS51&gt;=Settings!$B$5,Settings!$C$16&gt;0),MAX(0,(2*MAX(BL51,Settings!$C$16)+1)*$C$48-BS51),MAX(0,Settings!$B$5-BS51)),"")</f>
        <v>0.00120000000000001</v>
      </c>
      <c r="BO51" s="0" t="n">
        <f aca="false">IF($B$48=1,IF(OR(BS51&gt;=Settings!$B$5,Settings!$C$16&gt;0),IF(BL51&lt;=Settings!$C$16,"Protected by electorates",IF(Settings!$C$16=0,MIN(BS51-(2*BL51-1)*$D$48,BS51-Settings!$B$5),BS51-(2*BL51-1)*$D$48)),""),"")</f>
        <v>0.00745614035087719</v>
      </c>
      <c r="BP51" s="0" t="n">
        <f aca="false">IF($B$48=1,IF(OR(BS51&gt;=Settings!$B$5,Settings!$C$16&gt;0),MAX(0,MIN(1,(BS51/$C$48-(2*MAX(BL51,Settings!$C$16)-1))/2)),MIN(1,BS51/Settings!$B$5)),"")</f>
        <v>0.85483870967742</v>
      </c>
      <c r="BQ51" s="0" t="n">
        <f aca="false">IF(AND($B$48=1,COUNTIF(C51:BJ51,$C$48)&gt;0),1,0)</f>
        <v>0</v>
      </c>
      <c r="BR51" s="0" t="n">
        <f aca="false">IF(AND($B$48=1,COUNTIF(C51:BJ51,$D$48)&gt;0),1,0)</f>
        <v>0</v>
      </c>
      <c r="BS51" s="0" t="n">
        <f aca="false">N(IF(Polls!J11="",Polls!J37,Polls!J11))</f>
        <v>0.16</v>
      </c>
      <c r="BT51" s="0" t="str">
        <f aca="false">IF(OR(BS51&gt;=Settings!$B$5,Settings!$C$16&gt;0),"Next seat","Threshold")</f>
        <v>Next seat</v>
      </c>
    </row>
    <row r="52" customFormat="false" ht="15" hidden="false" customHeight="false" outlineLevel="0" collapsed="false">
      <c r="A52" s="0" t="s">
        <v>46</v>
      </c>
      <c r="B52" s="0" t="n">
        <f aca="false">IF(OR(BS52&gt;=Settings!$B$5,Settings!$C$17&gt;0),BS52,0)</f>
        <v>0.11</v>
      </c>
      <c r="C52" s="0" t="n">
        <f aca="false">$B52/C$1</f>
        <v>0.11</v>
      </c>
      <c r="D52" s="0" t="n">
        <f aca="false">$B52/D$1</f>
        <v>0.0366666666666667</v>
      </c>
      <c r="E52" s="0" t="n">
        <f aca="false">$B52/E$1</f>
        <v>0.022</v>
      </c>
      <c r="F52" s="0" t="n">
        <f aca="false">$B52/F$1</f>
        <v>0.0157142857142857</v>
      </c>
      <c r="G52" s="0" t="n">
        <f aca="false">$B52/G$1</f>
        <v>0.0122222222222222</v>
      </c>
      <c r="H52" s="0" t="n">
        <f aca="false">$B52/H$1</f>
        <v>0.01</v>
      </c>
      <c r="I52" s="0" t="n">
        <f aca="false">$B52/I$1</f>
        <v>0.00846153846153846</v>
      </c>
      <c r="J52" s="0" t="n">
        <f aca="false">$B52/J$1</f>
        <v>0.00733333333333333</v>
      </c>
      <c r="K52" s="0" t="n">
        <f aca="false">$B52/K$1</f>
        <v>0.00647058823529412</v>
      </c>
      <c r="L52" s="0" t="n">
        <f aca="false">$B52/L$1</f>
        <v>0.00578947368421053</v>
      </c>
      <c r="M52" s="0" t="n">
        <f aca="false">$B52/M$1</f>
        <v>0.00523809523809524</v>
      </c>
      <c r="N52" s="0" t="n">
        <f aca="false">$B52/N$1</f>
        <v>0.00478260869565217</v>
      </c>
      <c r="O52" s="0" t="n">
        <f aca="false">$B52/O$1</f>
        <v>0.0044</v>
      </c>
      <c r="P52" s="0" t="n">
        <f aca="false">$B52/P$1</f>
        <v>0.00407407407407407</v>
      </c>
      <c r="Q52" s="0" t="n">
        <f aca="false">$B52/Q$1</f>
        <v>0.00379310344827586</v>
      </c>
      <c r="R52" s="0" t="n">
        <f aca="false">$B52/R$1</f>
        <v>0.00354838709677419</v>
      </c>
      <c r="S52" s="0" t="n">
        <f aca="false">$B52/S$1</f>
        <v>0.00333333333333333</v>
      </c>
      <c r="T52" s="0" t="n">
        <f aca="false">$B52/T$1</f>
        <v>0.00314285714285714</v>
      </c>
      <c r="U52" s="0" t="n">
        <f aca="false">$B52/U$1</f>
        <v>0.00297297297297297</v>
      </c>
      <c r="V52" s="0" t="n">
        <f aca="false">$B52/V$1</f>
        <v>0.00282051282051282</v>
      </c>
      <c r="W52" s="0" t="n">
        <f aca="false">$B52/W$1</f>
        <v>0.00268292682926829</v>
      </c>
      <c r="X52" s="0" t="n">
        <f aca="false">$B52/X$1</f>
        <v>0.00255813953488372</v>
      </c>
      <c r="Y52" s="0" t="n">
        <f aca="false">$B52/Y$1</f>
        <v>0.00244444444444444</v>
      </c>
      <c r="Z52" s="0" t="n">
        <f aca="false">$B52/Z$1</f>
        <v>0.00234042553191489</v>
      </c>
      <c r="AA52" s="0" t="n">
        <f aca="false">$B52/AA$1</f>
        <v>0.00224489795918367</v>
      </c>
      <c r="AB52" s="0" t="n">
        <f aca="false">$B52/AB$1</f>
        <v>0.00215686274509804</v>
      </c>
      <c r="AC52" s="0" t="n">
        <f aca="false">$B52/AC$1</f>
        <v>0.00207547169811321</v>
      </c>
      <c r="AD52" s="0" t="n">
        <f aca="false">$B52/AD$1</f>
        <v>0.002</v>
      </c>
      <c r="AE52" s="0" t="n">
        <f aca="false">$B52/AE$1</f>
        <v>0.00192982456140351</v>
      </c>
      <c r="AF52" s="0" t="n">
        <f aca="false">$B52/AF$1</f>
        <v>0.00186440677966102</v>
      </c>
      <c r="AG52" s="0" t="n">
        <f aca="false">$B52/AG$1</f>
        <v>0.00180327868852459</v>
      </c>
      <c r="AH52" s="0" t="n">
        <f aca="false">$B52/AH$1</f>
        <v>0.00174603174603175</v>
      </c>
      <c r="AI52" s="0" t="n">
        <f aca="false">$B52/AI$1</f>
        <v>0.00169230769230769</v>
      </c>
      <c r="AJ52" s="0" t="n">
        <f aca="false">$B52/AJ$1</f>
        <v>0.00164179104477612</v>
      </c>
      <c r="AK52" s="0" t="n">
        <f aca="false">$B52/AK$1</f>
        <v>0.00159420289855072</v>
      </c>
      <c r="AL52" s="0" t="n">
        <f aca="false">$B52/AL$1</f>
        <v>0.00154929577464789</v>
      </c>
      <c r="AM52" s="0" t="n">
        <f aca="false">$B52/AM$1</f>
        <v>0.00150684931506849</v>
      </c>
      <c r="AN52" s="0" t="n">
        <f aca="false">$B52/AN$1</f>
        <v>0.00146666666666667</v>
      </c>
      <c r="AO52" s="0" t="n">
        <f aca="false">$B52/AO$1</f>
        <v>0.00142857142857143</v>
      </c>
      <c r="AP52" s="0" t="n">
        <f aca="false">$B52/AP$1</f>
        <v>0.00139240506329114</v>
      </c>
      <c r="AQ52" s="0" t="n">
        <f aca="false">$B52/AQ$1</f>
        <v>0.00135802469135802</v>
      </c>
      <c r="AR52" s="0" t="n">
        <f aca="false">$B52/AR$1</f>
        <v>0.00132530120481928</v>
      </c>
      <c r="AS52" s="0" t="n">
        <f aca="false">$B52/AS$1</f>
        <v>0.00129411764705882</v>
      </c>
      <c r="AT52" s="0" t="n">
        <f aca="false">$B52/AT$1</f>
        <v>0.00126436781609195</v>
      </c>
      <c r="AU52" s="0" t="n">
        <f aca="false">$B52/AU$1</f>
        <v>0.00123595505617978</v>
      </c>
      <c r="AV52" s="0" t="n">
        <f aca="false">$B52/AV$1</f>
        <v>0.00120879120879121</v>
      </c>
      <c r="AW52" s="0" t="n">
        <f aca="false">$B52/AW$1</f>
        <v>0.00118279569892473</v>
      </c>
      <c r="AX52" s="0" t="n">
        <f aca="false">$B52/AX$1</f>
        <v>0.00115789473684211</v>
      </c>
      <c r="AY52" s="0" t="n">
        <f aca="false">$B52/AY$1</f>
        <v>0.0011340206185567</v>
      </c>
      <c r="AZ52" s="0" t="n">
        <f aca="false">$B52/AZ$1</f>
        <v>0.00111111111111111</v>
      </c>
      <c r="BA52" s="0" t="n">
        <f aca="false">$B52/BA$1</f>
        <v>0.00108910891089109</v>
      </c>
      <c r="BB52" s="0" t="n">
        <f aca="false">$B52/BB$1</f>
        <v>0.00106796116504854</v>
      </c>
      <c r="BC52" s="0" t="n">
        <f aca="false">$B52/BC$1</f>
        <v>0.00104761904761905</v>
      </c>
      <c r="BD52" s="0" t="n">
        <f aca="false">$B52/BD$1</f>
        <v>0.00102803738317757</v>
      </c>
      <c r="BE52" s="0" t="n">
        <f aca="false">$B52/BE$1</f>
        <v>0.00100917431192661</v>
      </c>
      <c r="BF52" s="0" t="n">
        <f aca="false">$B52/BF$1</f>
        <v>0.000990990990990991</v>
      </c>
      <c r="BG52" s="0" t="n">
        <f aca="false">$B52/BG$1</f>
        <v>0.000973451327433628</v>
      </c>
      <c r="BH52" s="0" t="n">
        <f aca="false">$B52/BH$1</f>
        <v>0.000956521739130435</v>
      </c>
      <c r="BI52" s="0" t="n">
        <f aca="false">$B52/BI$1</f>
        <v>0.00094017094017094</v>
      </c>
      <c r="BJ52" s="0" t="n">
        <f aca="false">$B52/BJ$1</f>
        <v>0.00092436974789916</v>
      </c>
      <c r="BL52" s="0" t="n">
        <f aca="false">IF($B$48=1,COUNTIF(C52:BJ52,"&gt;="&amp;$C$48),0)</f>
        <v>13</v>
      </c>
      <c r="BM52" s="0" t="n">
        <f aca="false">IF($B$48=1,IF(OR(BS52&gt;=Settings!$B$5,Settings!$C$17&gt;0),MAX(BL52,Settings!$C$17),0),0)</f>
        <v>13</v>
      </c>
      <c r="BN52" s="0" t="n">
        <f aca="false">IF($B$48=1,IF(OR(BS52&gt;=Settings!$B$5,Settings!$C$17&gt;0),MAX(0,(2*MAX(BL52,Settings!$C$17)+1)*$C$48-BS52),MAX(0,Settings!$B$5-BS52)),"")</f>
        <v>0.0016</v>
      </c>
      <c r="BO52" s="0" t="n">
        <f aca="false">IF($B$48=1,IF(OR(BS52&gt;=Settings!$B$5,Settings!$C$17&gt;0),IF(BL52&lt;=Settings!$C$17,"Protected by electorates",IF(Settings!$C$17=0,MIN(BS52-(2*BL52-1)*$D$48,BS52-Settings!$B$5),BS52-(2*BL52-1)*$D$48)),""),"")</f>
        <v>0.00692982456140351</v>
      </c>
      <c r="BP52" s="0" t="n">
        <f aca="false">IF($B$48=1,IF(OR(BS52&gt;=Settings!$B$5,Settings!$C$17&gt;0),MAX(0,MIN(1,(BS52/$C$48-(2*MAX(BL52,Settings!$C$17)-1))/2)),MIN(1,BS52/Settings!$B$5)),"")</f>
        <v>0.806451612903226</v>
      </c>
      <c r="BQ52" s="0" t="n">
        <f aca="false">IF(AND($B$48=1,COUNTIF(C52:BJ52,$C$48)&gt;0),1,0)</f>
        <v>0</v>
      </c>
      <c r="BR52" s="0" t="n">
        <f aca="false">IF(AND($B$48=1,COUNTIF(C52:BJ52,$D$48)&gt;0),1,0)</f>
        <v>0</v>
      </c>
      <c r="BS52" s="0" t="n">
        <f aca="false">N(IF(Polls!K11="",Polls!K37,Polls!K11))</f>
        <v>0.11</v>
      </c>
      <c r="BT52" s="0" t="str">
        <f aca="false">IF(OR(BS52&gt;=Settings!$B$5,Settings!$C$17&gt;0),"Next seat","Threshold")</f>
        <v>Next seat</v>
      </c>
    </row>
    <row r="53" customFormat="false" ht="15" hidden="false" customHeight="false" outlineLevel="0" collapsed="false">
      <c r="A53" s="0" t="s">
        <v>48</v>
      </c>
      <c r="B53" s="0" t="n">
        <f aca="false">IF(OR(BS53&gt;=Settings!$B$5,Settings!$C$18&gt;0),BS53,0)</f>
        <v>0.1</v>
      </c>
      <c r="C53" s="0" t="n">
        <f aca="false">$B53/C$1</f>
        <v>0.1</v>
      </c>
      <c r="D53" s="0" t="n">
        <f aca="false">$B53/D$1</f>
        <v>0.0333333333333333</v>
      </c>
      <c r="E53" s="0" t="n">
        <f aca="false">$B53/E$1</f>
        <v>0.02</v>
      </c>
      <c r="F53" s="0" t="n">
        <f aca="false">$B53/F$1</f>
        <v>0.0142857142857143</v>
      </c>
      <c r="G53" s="0" t="n">
        <f aca="false">$B53/G$1</f>
        <v>0.0111111111111111</v>
      </c>
      <c r="H53" s="0" t="n">
        <f aca="false">$B53/H$1</f>
        <v>0.00909090909090909</v>
      </c>
      <c r="I53" s="0" t="n">
        <f aca="false">$B53/I$1</f>
        <v>0.00769230769230769</v>
      </c>
      <c r="J53" s="0" t="n">
        <f aca="false">$B53/J$1</f>
        <v>0.00666666666666667</v>
      </c>
      <c r="K53" s="0" t="n">
        <f aca="false">$B53/K$1</f>
        <v>0.00588235294117647</v>
      </c>
      <c r="L53" s="0" t="n">
        <f aca="false">$B53/L$1</f>
        <v>0.00526315789473684</v>
      </c>
      <c r="M53" s="0" t="n">
        <f aca="false">$B53/M$1</f>
        <v>0.00476190476190476</v>
      </c>
      <c r="N53" s="0" t="n">
        <f aca="false">$B53/N$1</f>
        <v>0.00434782608695652</v>
      </c>
      <c r="O53" s="0" t="n">
        <f aca="false">$B53/O$1</f>
        <v>0.004</v>
      </c>
      <c r="P53" s="0" t="n">
        <f aca="false">$B53/P$1</f>
        <v>0.0037037037037037</v>
      </c>
      <c r="Q53" s="0" t="n">
        <f aca="false">$B53/Q$1</f>
        <v>0.00344827586206897</v>
      </c>
      <c r="R53" s="0" t="n">
        <f aca="false">$B53/R$1</f>
        <v>0.0032258064516129</v>
      </c>
      <c r="S53" s="0" t="n">
        <f aca="false">$B53/S$1</f>
        <v>0.00303030303030303</v>
      </c>
      <c r="T53" s="0" t="n">
        <f aca="false">$B53/T$1</f>
        <v>0.00285714285714286</v>
      </c>
      <c r="U53" s="0" t="n">
        <f aca="false">$B53/U$1</f>
        <v>0.0027027027027027</v>
      </c>
      <c r="V53" s="0" t="n">
        <f aca="false">$B53/V$1</f>
        <v>0.00256410256410256</v>
      </c>
      <c r="W53" s="0" t="n">
        <f aca="false">$B53/W$1</f>
        <v>0.0024390243902439</v>
      </c>
      <c r="X53" s="0" t="n">
        <f aca="false">$B53/X$1</f>
        <v>0.00232558139534884</v>
      </c>
      <c r="Y53" s="0" t="n">
        <f aca="false">$B53/Y$1</f>
        <v>0.00222222222222222</v>
      </c>
      <c r="Z53" s="0" t="n">
        <f aca="false">$B53/Z$1</f>
        <v>0.00212765957446809</v>
      </c>
      <c r="AA53" s="0" t="n">
        <f aca="false">$B53/AA$1</f>
        <v>0.00204081632653061</v>
      </c>
      <c r="AB53" s="0" t="n">
        <f aca="false">$B53/AB$1</f>
        <v>0.00196078431372549</v>
      </c>
      <c r="AC53" s="0" t="n">
        <f aca="false">$B53/AC$1</f>
        <v>0.00188679245283019</v>
      </c>
      <c r="AD53" s="0" t="n">
        <f aca="false">$B53/AD$1</f>
        <v>0.00181818181818182</v>
      </c>
      <c r="AE53" s="0" t="n">
        <f aca="false">$B53/AE$1</f>
        <v>0.00175438596491228</v>
      </c>
      <c r="AF53" s="0" t="n">
        <f aca="false">$B53/AF$1</f>
        <v>0.00169491525423729</v>
      </c>
      <c r="AG53" s="0" t="n">
        <f aca="false">$B53/AG$1</f>
        <v>0.00163934426229508</v>
      </c>
      <c r="AH53" s="0" t="n">
        <f aca="false">$B53/AH$1</f>
        <v>0.00158730158730159</v>
      </c>
      <c r="AI53" s="0" t="n">
        <f aca="false">$B53/AI$1</f>
        <v>0.00153846153846154</v>
      </c>
      <c r="AJ53" s="0" t="n">
        <f aca="false">$B53/AJ$1</f>
        <v>0.00149253731343284</v>
      </c>
      <c r="AK53" s="0" t="n">
        <f aca="false">$B53/AK$1</f>
        <v>0.00144927536231884</v>
      </c>
      <c r="AL53" s="0" t="n">
        <f aca="false">$B53/AL$1</f>
        <v>0.00140845070422535</v>
      </c>
      <c r="AM53" s="0" t="n">
        <f aca="false">$B53/AM$1</f>
        <v>0.00136986301369863</v>
      </c>
      <c r="AN53" s="0" t="n">
        <f aca="false">$B53/AN$1</f>
        <v>0.00133333333333333</v>
      </c>
      <c r="AO53" s="0" t="n">
        <f aca="false">$B53/AO$1</f>
        <v>0.0012987012987013</v>
      </c>
      <c r="AP53" s="0" t="n">
        <f aca="false">$B53/AP$1</f>
        <v>0.00126582278481013</v>
      </c>
      <c r="AQ53" s="0" t="n">
        <f aca="false">$B53/AQ$1</f>
        <v>0.00123456790123457</v>
      </c>
      <c r="AR53" s="0" t="n">
        <f aca="false">$B53/AR$1</f>
        <v>0.00120481927710843</v>
      </c>
      <c r="AS53" s="0" t="n">
        <f aca="false">$B53/AS$1</f>
        <v>0.00117647058823529</v>
      </c>
      <c r="AT53" s="0" t="n">
        <f aca="false">$B53/AT$1</f>
        <v>0.00114942528735632</v>
      </c>
      <c r="AU53" s="0" t="n">
        <f aca="false">$B53/AU$1</f>
        <v>0.00112359550561798</v>
      </c>
      <c r="AV53" s="0" t="n">
        <f aca="false">$B53/AV$1</f>
        <v>0.0010989010989011</v>
      </c>
      <c r="AW53" s="0" t="n">
        <f aca="false">$B53/AW$1</f>
        <v>0.0010752688172043</v>
      </c>
      <c r="AX53" s="0" t="n">
        <f aca="false">$B53/AX$1</f>
        <v>0.00105263157894737</v>
      </c>
      <c r="AY53" s="0" t="n">
        <f aca="false">$B53/AY$1</f>
        <v>0.00103092783505155</v>
      </c>
      <c r="AZ53" s="0" t="n">
        <f aca="false">$B53/AZ$1</f>
        <v>0.00101010101010101</v>
      </c>
      <c r="BA53" s="0" t="n">
        <f aca="false">$B53/BA$1</f>
        <v>0.00099009900990099</v>
      </c>
      <c r="BB53" s="0" t="n">
        <f aca="false">$B53/BB$1</f>
        <v>0.000970873786407767</v>
      </c>
      <c r="BC53" s="0" t="n">
        <f aca="false">$B53/BC$1</f>
        <v>0.000952380952380952</v>
      </c>
      <c r="BD53" s="0" t="n">
        <f aca="false">$B53/BD$1</f>
        <v>0.000934579439252337</v>
      </c>
      <c r="BE53" s="0" t="n">
        <f aca="false">$B53/BE$1</f>
        <v>0.000917431192660551</v>
      </c>
      <c r="BF53" s="0" t="n">
        <f aca="false">$B53/BF$1</f>
        <v>0.000900900900900901</v>
      </c>
      <c r="BG53" s="0" t="n">
        <f aca="false">$B53/BG$1</f>
        <v>0.00088495575221239</v>
      </c>
      <c r="BH53" s="0" t="n">
        <f aca="false">$B53/BH$1</f>
        <v>0.000869565217391304</v>
      </c>
      <c r="BI53" s="0" t="n">
        <f aca="false">$B53/BI$1</f>
        <v>0.000854700854700855</v>
      </c>
      <c r="BJ53" s="0" t="n">
        <f aca="false">$B53/BJ$1</f>
        <v>0.000840336134453782</v>
      </c>
      <c r="BL53" s="0" t="n">
        <f aca="false">IF($B$48=1,COUNTIF(C53:BJ53,"&gt;="&amp;$C$48),0)</f>
        <v>12</v>
      </c>
      <c r="BM53" s="0" t="n">
        <f aca="false">IF($B$48=1,IF(OR(BS53&gt;=Settings!$B$5,Settings!$C$18&gt;0),MAX(BL53,Settings!$C$18),0),0)</f>
        <v>12</v>
      </c>
      <c r="BN53" s="0" t="n">
        <f aca="false">IF($B$48=1,IF(OR(BS53&gt;=Settings!$B$5,Settings!$C$18&gt;0),MAX(0,(2*MAX(BL53,Settings!$C$18)+1)*$C$48-BS53),MAX(0,Settings!$B$5-BS53)),"")</f>
        <v>0.00333333333333333</v>
      </c>
      <c r="BO53" s="0" t="n">
        <f aca="false">IF($B$48=1,IF(OR(BS53&gt;=Settings!$B$5,Settings!$C$18&gt;0),IF(BL53&lt;=Settings!$C$18,"Protected by electorates",IF(Settings!$C$18=0,MIN(BS53-(2*BL53-1)*$D$48,BS53-Settings!$B$5),BS53-(2*BL53-1)*$D$48)),""),"")</f>
        <v>0.00517543859649124</v>
      </c>
      <c r="BP53" s="0" t="n">
        <f aca="false">IF($B$48=1,IF(OR(BS53&gt;=Settings!$B$5,Settings!$C$18&gt;0),MAX(0,MIN(1,(BS53/$C$48-(2*MAX(BL53,Settings!$C$18)-1))/2)),MIN(1,BS53/Settings!$B$5)),"")</f>
        <v>0.596774193548388</v>
      </c>
      <c r="BQ53" s="0" t="n">
        <f aca="false">IF(AND($B$48=1,COUNTIF(C53:BJ53,$C$48)&gt;0),1,0)</f>
        <v>0</v>
      </c>
      <c r="BR53" s="0" t="n">
        <f aca="false">IF(AND($B$48=1,COUNTIF(C53:BJ53,$D$48)&gt;0),1,0)</f>
        <v>0</v>
      </c>
      <c r="BS53" s="0" t="n">
        <f aca="false">N(IF(Polls!L11="",Polls!L37,Polls!L11))</f>
        <v>0.1</v>
      </c>
      <c r="BT53" s="0" t="str">
        <f aca="false">IF(OR(BS53&gt;=Settings!$B$5,Settings!$C$18&gt;0),"Next seat","Threshold")</f>
        <v>Next seat</v>
      </c>
    </row>
    <row r="54" customFormat="false" ht="15" hidden="false" customHeight="false" outlineLevel="0" collapsed="false">
      <c r="A54" s="0" t="s">
        <v>50</v>
      </c>
      <c r="B54" s="0" t="n">
        <f aca="false">IF(OR(BS54&gt;=Settings!$B$5,Settings!$C$19&gt;0),BS54,0)</f>
        <v>0.02</v>
      </c>
      <c r="C54" s="0" t="n">
        <f aca="false">$B54/C$1</f>
        <v>0.02</v>
      </c>
      <c r="D54" s="0" t="n">
        <f aca="false">$B54/D$1</f>
        <v>0.00666666666666667</v>
      </c>
      <c r="E54" s="0" t="n">
        <f aca="false">$B54/E$1</f>
        <v>0.004</v>
      </c>
      <c r="F54" s="0" t="n">
        <f aca="false">$B54/F$1</f>
        <v>0.00285714285714286</v>
      </c>
      <c r="G54" s="0" t="n">
        <f aca="false">$B54/G$1</f>
        <v>0.00222222222222222</v>
      </c>
      <c r="H54" s="0" t="n">
        <f aca="false">$B54/H$1</f>
        <v>0.00181818181818182</v>
      </c>
      <c r="I54" s="0" t="n">
        <f aca="false">$B54/I$1</f>
        <v>0.00153846153846154</v>
      </c>
      <c r="J54" s="0" t="n">
        <f aca="false">$B54/J$1</f>
        <v>0.00133333333333333</v>
      </c>
      <c r="K54" s="0" t="n">
        <f aca="false">$B54/K$1</f>
        <v>0.00117647058823529</v>
      </c>
      <c r="L54" s="0" t="n">
        <f aca="false">$B54/L$1</f>
        <v>0.00105263157894737</v>
      </c>
      <c r="M54" s="0" t="n">
        <f aca="false">$B54/M$1</f>
        <v>0.000952380952380952</v>
      </c>
      <c r="N54" s="0" t="n">
        <f aca="false">$B54/N$1</f>
        <v>0.000869565217391304</v>
      </c>
      <c r="O54" s="0" t="n">
        <f aca="false">$B54/O$1</f>
        <v>0.0008</v>
      </c>
      <c r="P54" s="0" t="n">
        <f aca="false">$B54/P$1</f>
        <v>0.000740740740740741</v>
      </c>
      <c r="Q54" s="0" t="n">
        <f aca="false">$B54/Q$1</f>
        <v>0.000689655172413793</v>
      </c>
      <c r="R54" s="0" t="n">
        <f aca="false">$B54/R$1</f>
        <v>0.000645161290322581</v>
      </c>
      <c r="S54" s="0" t="n">
        <f aca="false">$B54/S$1</f>
        <v>0.000606060606060606</v>
      </c>
      <c r="T54" s="0" t="n">
        <f aca="false">$B54/T$1</f>
        <v>0.000571428571428572</v>
      </c>
      <c r="U54" s="0" t="n">
        <f aca="false">$B54/U$1</f>
        <v>0.000540540540540541</v>
      </c>
      <c r="V54" s="0" t="n">
        <f aca="false">$B54/V$1</f>
        <v>0.000512820512820513</v>
      </c>
      <c r="W54" s="0" t="n">
        <f aca="false">$B54/W$1</f>
        <v>0.000487804878048781</v>
      </c>
      <c r="X54" s="0" t="n">
        <f aca="false">$B54/X$1</f>
        <v>0.000465116279069767</v>
      </c>
      <c r="Y54" s="0" t="n">
        <f aca="false">$B54/Y$1</f>
        <v>0.000444444444444444</v>
      </c>
      <c r="Z54" s="0" t="n">
        <f aca="false">$B54/Z$1</f>
        <v>0.000425531914893617</v>
      </c>
      <c r="AA54" s="0" t="n">
        <f aca="false">$B54/AA$1</f>
        <v>0.000408163265306122</v>
      </c>
      <c r="AB54" s="0" t="n">
        <f aca="false">$B54/AB$1</f>
        <v>0.000392156862745098</v>
      </c>
      <c r="AC54" s="0" t="n">
        <f aca="false">$B54/AC$1</f>
        <v>0.000377358490566038</v>
      </c>
      <c r="AD54" s="0" t="n">
        <f aca="false">$B54/AD$1</f>
        <v>0.000363636363636364</v>
      </c>
      <c r="AE54" s="0" t="n">
        <f aca="false">$B54/AE$1</f>
        <v>0.000350877192982456</v>
      </c>
      <c r="AF54" s="0" t="n">
        <f aca="false">$B54/AF$1</f>
        <v>0.000338983050847458</v>
      </c>
      <c r="AG54" s="0" t="n">
        <f aca="false">$B54/AG$1</f>
        <v>0.000327868852459016</v>
      </c>
      <c r="AH54" s="0" t="n">
        <f aca="false">$B54/AH$1</f>
        <v>0.000317460317460317</v>
      </c>
      <c r="AI54" s="0" t="n">
        <f aca="false">$B54/AI$1</f>
        <v>0.000307692307692308</v>
      </c>
      <c r="AJ54" s="0" t="n">
        <f aca="false">$B54/AJ$1</f>
        <v>0.000298507462686567</v>
      </c>
      <c r="AK54" s="0" t="n">
        <f aca="false">$B54/AK$1</f>
        <v>0.000289855072463768</v>
      </c>
      <c r="AL54" s="0" t="n">
        <f aca="false">$B54/AL$1</f>
        <v>0.00028169014084507</v>
      </c>
      <c r="AM54" s="0" t="n">
        <f aca="false">$B54/AM$1</f>
        <v>0.000273972602739726</v>
      </c>
      <c r="AN54" s="0" t="n">
        <f aca="false">$B54/AN$1</f>
        <v>0.000266666666666667</v>
      </c>
      <c r="AO54" s="0" t="n">
        <f aca="false">$B54/AO$1</f>
        <v>0.00025974025974026</v>
      </c>
      <c r="AP54" s="0" t="n">
        <f aca="false">$B54/AP$1</f>
        <v>0.000253164556962025</v>
      </c>
      <c r="AQ54" s="0" t="n">
        <f aca="false">$B54/AQ$1</f>
        <v>0.000246913580246914</v>
      </c>
      <c r="AR54" s="0" t="n">
        <f aca="false">$B54/AR$1</f>
        <v>0.000240963855421687</v>
      </c>
      <c r="AS54" s="0" t="n">
        <f aca="false">$B54/AS$1</f>
        <v>0.000235294117647059</v>
      </c>
      <c r="AT54" s="0" t="n">
        <f aca="false">$B54/AT$1</f>
        <v>0.000229885057471264</v>
      </c>
      <c r="AU54" s="0" t="n">
        <f aca="false">$B54/AU$1</f>
        <v>0.000224719101123596</v>
      </c>
      <c r="AV54" s="0" t="n">
        <f aca="false">$B54/AV$1</f>
        <v>0.00021978021978022</v>
      </c>
      <c r="AW54" s="0" t="n">
        <f aca="false">$B54/AW$1</f>
        <v>0.00021505376344086</v>
      </c>
      <c r="AX54" s="0" t="n">
        <f aca="false">$B54/AX$1</f>
        <v>0.000210526315789474</v>
      </c>
      <c r="AY54" s="0" t="n">
        <f aca="false">$B54/AY$1</f>
        <v>0.000206185567010309</v>
      </c>
      <c r="AZ54" s="0" t="n">
        <f aca="false">$B54/AZ$1</f>
        <v>0.000202020202020202</v>
      </c>
      <c r="BA54" s="0" t="n">
        <f aca="false">$B54/BA$1</f>
        <v>0.000198019801980198</v>
      </c>
      <c r="BB54" s="0" t="n">
        <f aca="false">$B54/BB$1</f>
        <v>0.000194174757281553</v>
      </c>
      <c r="BC54" s="0" t="n">
        <f aca="false">$B54/BC$1</f>
        <v>0.00019047619047619</v>
      </c>
      <c r="BD54" s="0" t="n">
        <f aca="false">$B54/BD$1</f>
        <v>0.000186915887850467</v>
      </c>
      <c r="BE54" s="0" t="n">
        <f aca="false">$B54/BE$1</f>
        <v>0.00018348623853211</v>
      </c>
      <c r="BF54" s="0" t="n">
        <f aca="false">$B54/BF$1</f>
        <v>0.00018018018018018</v>
      </c>
      <c r="BG54" s="0" t="n">
        <f aca="false">$B54/BG$1</f>
        <v>0.000176991150442478</v>
      </c>
      <c r="BH54" s="0" t="n">
        <f aca="false">$B54/BH$1</f>
        <v>0.000173913043478261</v>
      </c>
      <c r="BI54" s="0" t="n">
        <f aca="false">$B54/BI$1</f>
        <v>0.000170940170940171</v>
      </c>
      <c r="BJ54" s="0" t="n">
        <f aca="false">$B54/BJ$1</f>
        <v>0.000168067226890756</v>
      </c>
      <c r="BL54" s="0" t="n">
        <f aca="false">IF($B$48=1,COUNTIF(C54:BJ54,"&gt;="&amp;$C$48),0)</f>
        <v>2</v>
      </c>
      <c r="BM54" s="0" t="n">
        <f aca="false">IF($B$48=1,IF(OR(BS54&gt;=Settings!$B$5,Settings!$C$19&gt;0),MAX(BL54,Settings!$C$19),0),0)</f>
        <v>4</v>
      </c>
      <c r="BN54" s="0" t="n">
        <f aca="false">IF($B$48=1,IF(OR(BS54&gt;=Settings!$B$5,Settings!$C$19&gt;0),MAX(0,(2*MAX(BL54,Settings!$C$19)+1)*$C$48-BS54),MAX(0,Settings!$B$5-BS54)),"")</f>
        <v>0.0172</v>
      </c>
      <c r="BO54" s="0" t="str">
        <f aca="false">IF($B$48=1,IF(OR(BS54&gt;=Settings!$B$5,Settings!$C$19&gt;0),IF(BL54&lt;=Settings!$C$19,"Protected by electorates",IF(Settings!$C$19=0,MIN(BS54-(2*BL54-1)*$D$48,BS54-Settings!$B$5),BS54-(2*BL54-1)*$D$48)),""),"")</f>
        <v>Protected by electorates</v>
      </c>
      <c r="BP54" s="0" t="n">
        <f aca="false">IF($B$48=1,IF(OR(BS54&gt;=Settings!$B$5,Settings!$C$19&gt;0),MAX(0,MIN(1,(BS54/$C$48-(2*MAX(BL54,Settings!$C$19)-1))/2)),MIN(1,BS54/Settings!$B$5)),"")</f>
        <v>0</v>
      </c>
      <c r="BQ54" s="0" t="n">
        <f aca="false">IF(AND($B$48=1,COUNTIF(C54:BJ54,$C$48)&gt;0),1,0)</f>
        <v>0</v>
      </c>
      <c r="BR54" s="0" t="n">
        <f aca="false">IF(AND($B$48=1,COUNTIF(C54:BJ54,$D$48)&gt;0),1,0)</f>
        <v>0</v>
      </c>
      <c r="BS54" s="0" t="n">
        <f aca="false">N(IF(Polls!M11="",Polls!M37,Polls!M11))</f>
        <v>0.02</v>
      </c>
      <c r="BT54" s="0" t="str">
        <f aca="false">IF(OR(BS54&gt;=Settings!$B$5,Settings!$C$19&gt;0),"Next seat","Threshold")</f>
        <v>Next seat</v>
      </c>
    </row>
    <row r="55" customFormat="false" ht="15" hidden="false" customHeight="false" outlineLevel="0" collapsed="false">
      <c r="A55" s="0" t="s">
        <v>52</v>
      </c>
      <c r="B55" s="0" t="n">
        <f aca="false">IF(OR(BS55&gt;=Settings!$B$5,Settings!$C$20&gt;0),BS55,0)</f>
        <v>0.065</v>
      </c>
      <c r="C55" s="0" t="n">
        <f aca="false">$B55/C$1</f>
        <v>0.065</v>
      </c>
      <c r="D55" s="0" t="n">
        <f aca="false">$B55/D$1</f>
        <v>0.0216666666666667</v>
      </c>
      <c r="E55" s="0" t="n">
        <f aca="false">$B55/E$1</f>
        <v>0.013</v>
      </c>
      <c r="F55" s="0" t="n">
        <f aca="false">$B55/F$1</f>
        <v>0.00928571428571429</v>
      </c>
      <c r="G55" s="0" t="n">
        <f aca="false">$B55/G$1</f>
        <v>0.00722222222222222</v>
      </c>
      <c r="H55" s="0" t="n">
        <f aca="false">$B55/H$1</f>
        <v>0.00590909090909091</v>
      </c>
      <c r="I55" s="0" t="n">
        <f aca="false">$B55/I$1</f>
        <v>0.005</v>
      </c>
      <c r="J55" s="0" t="n">
        <f aca="false">$B55/J$1</f>
        <v>0.00433333333333333</v>
      </c>
      <c r="K55" s="0" t="n">
        <f aca="false">$B55/K$1</f>
        <v>0.00382352941176471</v>
      </c>
      <c r="L55" s="0" t="n">
        <f aca="false">$B55/L$1</f>
        <v>0.00342105263157895</v>
      </c>
      <c r="M55" s="0" t="n">
        <f aca="false">$B55/M$1</f>
        <v>0.0030952380952381</v>
      </c>
      <c r="N55" s="0" t="n">
        <f aca="false">$B55/N$1</f>
        <v>0.00282608695652174</v>
      </c>
      <c r="O55" s="0" t="n">
        <f aca="false">$B55/O$1</f>
        <v>0.0026</v>
      </c>
      <c r="P55" s="0" t="n">
        <f aca="false">$B55/P$1</f>
        <v>0.00240740740740741</v>
      </c>
      <c r="Q55" s="0" t="n">
        <f aca="false">$B55/Q$1</f>
        <v>0.00224137931034483</v>
      </c>
      <c r="R55" s="0" t="n">
        <f aca="false">$B55/R$1</f>
        <v>0.00209677419354839</v>
      </c>
      <c r="S55" s="0" t="n">
        <f aca="false">$B55/S$1</f>
        <v>0.00196969696969697</v>
      </c>
      <c r="T55" s="0" t="n">
        <f aca="false">$B55/T$1</f>
        <v>0.00185714285714286</v>
      </c>
      <c r="U55" s="0" t="n">
        <f aca="false">$B55/U$1</f>
        <v>0.00175675675675676</v>
      </c>
      <c r="V55" s="0" t="n">
        <f aca="false">$B55/V$1</f>
        <v>0.00166666666666667</v>
      </c>
      <c r="W55" s="0" t="n">
        <f aca="false">$B55/W$1</f>
        <v>0.00158536585365854</v>
      </c>
      <c r="X55" s="0" t="n">
        <f aca="false">$B55/X$1</f>
        <v>0.00151162790697674</v>
      </c>
      <c r="Y55" s="0" t="n">
        <f aca="false">$B55/Y$1</f>
        <v>0.00144444444444444</v>
      </c>
      <c r="Z55" s="0" t="n">
        <f aca="false">$B55/Z$1</f>
        <v>0.00138297872340426</v>
      </c>
      <c r="AA55" s="0" t="n">
        <f aca="false">$B55/AA$1</f>
        <v>0.0013265306122449</v>
      </c>
      <c r="AB55" s="0" t="n">
        <f aca="false">$B55/AB$1</f>
        <v>0.00127450980392157</v>
      </c>
      <c r="AC55" s="0" t="n">
        <f aca="false">$B55/AC$1</f>
        <v>0.00122641509433962</v>
      </c>
      <c r="AD55" s="0" t="n">
        <f aca="false">$B55/AD$1</f>
        <v>0.00118181818181818</v>
      </c>
      <c r="AE55" s="0" t="n">
        <f aca="false">$B55/AE$1</f>
        <v>0.00114035087719298</v>
      </c>
      <c r="AF55" s="0" t="n">
        <f aca="false">$B55/AF$1</f>
        <v>0.00110169491525424</v>
      </c>
      <c r="AG55" s="0" t="n">
        <f aca="false">$B55/AG$1</f>
        <v>0.0010655737704918</v>
      </c>
      <c r="AH55" s="0" t="n">
        <f aca="false">$B55/AH$1</f>
        <v>0.00103174603174603</v>
      </c>
      <c r="AI55" s="0" t="n">
        <f aca="false">$B55/AI$1</f>
        <v>0.001</v>
      </c>
      <c r="AJ55" s="0" t="n">
        <f aca="false">$B55/AJ$1</f>
        <v>0.000970149253731343</v>
      </c>
      <c r="AK55" s="0" t="n">
        <f aca="false">$B55/AK$1</f>
        <v>0.000942028985507246</v>
      </c>
      <c r="AL55" s="0" t="n">
        <f aca="false">$B55/AL$1</f>
        <v>0.000915492957746479</v>
      </c>
      <c r="AM55" s="0" t="n">
        <f aca="false">$B55/AM$1</f>
        <v>0.00089041095890411</v>
      </c>
      <c r="AN55" s="0" t="n">
        <f aca="false">$B55/AN$1</f>
        <v>0.000866666666666667</v>
      </c>
      <c r="AO55" s="0" t="n">
        <f aca="false">$B55/AO$1</f>
        <v>0.000844155844155844</v>
      </c>
      <c r="AP55" s="0" t="n">
        <f aca="false">$B55/AP$1</f>
        <v>0.000822784810126582</v>
      </c>
      <c r="AQ55" s="0" t="n">
        <f aca="false">$B55/AQ$1</f>
        <v>0.000802469135802469</v>
      </c>
      <c r="AR55" s="0" t="n">
        <f aca="false">$B55/AR$1</f>
        <v>0.000783132530120482</v>
      </c>
      <c r="AS55" s="0" t="n">
        <f aca="false">$B55/AS$1</f>
        <v>0.000764705882352941</v>
      </c>
      <c r="AT55" s="0" t="n">
        <f aca="false">$B55/AT$1</f>
        <v>0.000747126436781609</v>
      </c>
      <c r="AU55" s="0" t="n">
        <f aca="false">$B55/AU$1</f>
        <v>0.000730337078651685</v>
      </c>
      <c r="AV55" s="0" t="n">
        <f aca="false">$B55/AV$1</f>
        <v>0.000714285714285714</v>
      </c>
      <c r="AW55" s="0" t="n">
        <f aca="false">$B55/AW$1</f>
        <v>0.000698924731182796</v>
      </c>
      <c r="AX55" s="0" t="n">
        <f aca="false">$B55/AX$1</f>
        <v>0.00068421052631579</v>
      </c>
      <c r="AY55" s="0" t="n">
        <f aca="false">$B55/AY$1</f>
        <v>0.000670103092783505</v>
      </c>
      <c r="AZ55" s="0" t="n">
        <f aca="false">$B55/AZ$1</f>
        <v>0.000656565656565657</v>
      </c>
      <c r="BA55" s="0" t="n">
        <f aca="false">$B55/BA$1</f>
        <v>0.000643564356435644</v>
      </c>
      <c r="BB55" s="0" t="n">
        <f aca="false">$B55/BB$1</f>
        <v>0.000631067961165049</v>
      </c>
      <c r="BC55" s="0" t="n">
        <f aca="false">$B55/BC$1</f>
        <v>0.000619047619047619</v>
      </c>
      <c r="BD55" s="0" t="n">
        <f aca="false">$B55/BD$1</f>
        <v>0.000607476635514019</v>
      </c>
      <c r="BE55" s="0" t="n">
        <f aca="false">$B55/BE$1</f>
        <v>0.000596330275229358</v>
      </c>
      <c r="BF55" s="0" t="n">
        <f aca="false">$B55/BF$1</f>
        <v>0.000585585585585586</v>
      </c>
      <c r="BG55" s="0" t="n">
        <f aca="false">$B55/BG$1</f>
        <v>0.000575221238938053</v>
      </c>
      <c r="BH55" s="0" t="n">
        <f aca="false">$B55/BH$1</f>
        <v>0.000565217391304348</v>
      </c>
      <c r="BI55" s="0" t="n">
        <f aca="false">$B55/BI$1</f>
        <v>0.000555555555555556</v>
      </c>
      <c r="BJ55" s="0" t="n">
        <f aca="false">$B55/BJ$1</f>
        <v>0.000546218487394958</v>
      </c>
      <c r="BL55" s="0" t="n">
        <f aca="false">IF($B$48=1,COUNTIF(C55:BJ55,"&gt;="&amp;$C$48),0)</f>
        <v>8</v>
      </c>
      <c r="BM55" s="0" t="n">
        <f aca="false">IF($B$48=1,IF(OR(BS55&gt;=Settings!$B$5,Settings!$C$20&gt;0),MAX(BL55,Settings!$C$20),0),0)</f>
        <v>8</v>
      </c>
      <c r="BN55" s="0" t="n">
        <f aca="false">IF($B$48=1,IF(OR(BS55&gt;=Settings!$B$5,Settings!$C$20&gt;0),MAX(0,(2*MAX(BL55,Settings!$C$20)+1)*$C$48-BS55),MAX(0,Settings!$B$5-BS55)),"")</f>
        <v>0.00526666666666667</v>
      </c>
      <c r="BO55" s="0" t="n">
        <f aca="false">IF($B$48=1,IF(OR(BS55&gt;=Settings!$B$5,Settings!$C$20&gt;0),IF(BL55&lt;=Settings!$C$20,"Protected by electorates",IF(Settings!$C$20=0,MIN(BS55-(2*BL55-1)*$D$48,BS55-Settings!$B$5),BS55-(2*BL55-1)*$D$48)),""),"")</f>
        <v>0.00315789473684211</v>
      </c>
      <c r="BP55" s="0" t="n">
        <f aca="false">IF($B$48=1,IF(OR(BS55&gt;=Settings!$B$5,Settings!$C$20&gt;0),MAX(0,MIN(1,(BS55/$C$48-(2*MAX(BL55,Settings!$C$20)-1))/2)),MIN(1,BS55/Settings!$B$5)),"")</f>
        <v>0.362903225806452</v>
      </c>
      <c r="BQ55" s="0" t="n">
        <f aca="false">IF(AND($B$48=1,COUNTIF(C55:BJ55,$C$48)&gt;0),1,0)</f>
        <v>0</v>
      </c>
      <c r="BR55" s="0" t="n">
        <f aca="false">IF(AND($B$48=1,COUNTIF(C55:BJ55,$D$48)&gt;0),1,0)</f>
        <v>0</v>
      </c>
      <c r="BS55" s="0" t="n">
        <f aca="false">N(IF(Polls!N11="",Polls!N37,Polls!N11))</f>
        <v>0.065</v>
      </c>
      <c r="BT55" s="0" t="str">
        <f aca="false">IF(OR(BS55&gt;=Settings!$B$5,Settings!$C$20&gt;0),"Next seat","Threshold")</f>
        <v>Next seat</v>
      </c>
    </row>
    <row r="57" customFormat="false" ht="15" hidden="false" customHeight="false" outlineLevel="0" collapsed="false">
      <c r="A57" s="41" t="str">
        <f aca="false">Polls!A12</f>
        <v>Freshwater Sep</v>
      </c>
      <c r="B57" s="17" t="n">
        <f aca="false">IF(SUM(BS58:BS64)&gt;0,1,0)</f>
        <v>1</v>
      </c>
      <c r="C57" s="17" t="n">
        <f aca="false">IF(B57=1,LARGE(C58:BJ64,Settings!$B$4),0)</f>
        <v>0.00415384615384615</v>
      </c>
      <c r="D57" s="17" t="n">
        <f aca="false">IF(B57=1,LARGE(C58:BJ64,Settings!$B$4+1),0)</f>
        <v>0.00405797101449275</v>
      </c>
      <c r="E57" s="0" t="str">
        <f aca="false">IF(B57=1,IFERROR(INDEX(A58:A64,MATCH(1,BQ58:BQ64,0)),""),"")</f>
        <v>NAT</v>
      </c>
      <c r="F57" s="0" t="str">
        <f aca="false">IF(B57=1,IFERROR(INDEX(A58:A64,MATCH(1,BR58:BR64,0)),""),"")</f>
        <v>LAB</v>
      </c>
      <c r="G57" s="17" t="n">
        <f aca="false">IF(B57=1,SUM(BM58:BM64)+Settings!$B$10,"")</f>
        <v>122</v>
      </c>
    </row>
    <row r="58" customFormat="false" ht="15" hidden="false" customHeight="false" outlineLevel="0" collapsed="false">
      <c r="A58" s="0" t="s">
        <v>41</v>
      </c>
      <c r="B58" s="0" t="n">
        <f aca="false">IF(OR(BS58&gt;=Settings!$B$5,Settings!$C$14&gt;0),BS58,0)</f>
        <v>0.27</v>
      </c>
      <c r="C58" s="0" t="n">
        <f aca="false">$B58/C$1</f>
        <v>0.27</v>
      </c>
      <c r="D58" s="0" t="n">
        <f aca="false">$B58/D$1</f>
        <v>0.09</v>
      </c>
      <c r="E58" s="0" t="n">
        <f aca="false">$B58/E$1</f>
        <v>0.054</v>
      </c>
      <c r="F58" s="0" t="n">
        <f aca="false">$B58/F$1</f>
        <v>0.0385714285714286</v>
      </c>
      <c r="G58" s="0" t="n">
        <f aca="false">$B58/G$1</f>
        <v>0.03</v>
      </c>
      <c r="H58" s="0" t="n">
        <f aca="false">$B58/H$1</f>
        <v>0.0245454545454545</v>
      </c>
      <c r="I58" s="0" t="n">
        <f aca="false">$B58/I$1</f>
        <v>0.0207692307692308</v>
      </c>
      <c r="J58" s="0" t="n">
        <f aca="false">$B58/J$1</f>
        <v>0.018</v>
      </c>
      <c r="K58" s="0" t="n">
        <f aca="false">$B58/K$1</f>
        <v>0.0158823529411765</v>
      </c>
      <c r="L58" s="0" t="n">
        <f aca="false">$B58/L$1</f>
        <v>0.0142105263157895</v>
      </c>
      <c r="M58" s="0" t="n">
        <f aca="false">$B58/M$1</f>
        <v>0.0128571428571429</v>
      </c>
      <c r="N58" s="0" t="n">
        <f aca="false">$B58/N$1</f>
        <v>0.0117391304347826</v>
      </c>
      <c r="O58" s="0" t="n">
        <f aca="false">$B58/O$1</f>
        <v>0.0108</v>
      </c>
      <c r="P58" s="0" t="n">
        <f aca="false">$B58/P$1</f>
        <v>0.01</v>
      </c>
      <c r="Q58" s="0" t="n">
        <f aca="false">$B58/Q$1</f>
        <v>0.00931034482758621</v>
      </c>
      <c r="R58" s="0" t="n">
        <f aca="false">$B58/R$1</f>
        <v>0.00870967741935484</v>
      </c>
      <c r="S58" s="0" t="n">
        <f aca="false">$B58/S$1</f>
        <v>0.00818181818181818</v>
      </c>
      <c r="T58" s="0" t="n">
        <f aca="false">$B58/T$1</f>
        <v>0.00771428571428572</v>
      </c>
      <c r="U58" s="0" t="n">
        <f aca="false">$B58/U$1</f>
        <v>0.0072972972972973</v>
      </c>
      <c r="V58" s="0" t="n">
        <f aca="false">$B58/V$1</f>
        <v>0.00692307692307692</v>
      </c>
      <c r="W58" s="0" t="n">
        <f aca="false">$B58/W$1</f>
        <v>0.00658536585365854</v>
      </c>
      <c r="X58" s="0" t="n">
        <f aca="false">$B58/X$1</f>
        <v>0.00627906976744186</v>
      </c>
      <c r="Y58" s="0" t="n">
        <f aca="false">$B58/Y$1</f>
        <v>0.006</v>
      </c>
      <c r="Z58" s="0" t="n">
        <f aca="false">$B58/Z$1</f>
        <v>0.00574468085106383</v>
      </c>
      <c r="AA58" s="0" t="n">
        <f aca="false">$B58/AA$1</f>
        <v>0.00551020408163265</v>
      </c>
      <c r="AB58" s="0" t="n">
        <f aca="false">$B58/AB$1</f>
        <v>0.00529411764705882</v>
      </c>
      <c r="AC58" s="0" t="n">
        <f aca="false">$B58/AC$1</f>
        <v>0.00509433962264151</v>
      </c>
      <c r="AD58" s="0" t="n">
        <f aca="false">$B58/AD$1</f>
        <v>0.00490909090909091</v>
      </c>
      <c r="AE58" s="0" t="n">
        <f aca="false">$B58/AE$1</f>
        <v>0.00473684210526316</v>
      </c>
      <c r="AF58" s="0" t="n">
        <f aca="false">$B58/AF$1</f>
        <v>0.00457627118644068</v>
      </c>
      <c r="AG58" s="0" t="n">
        <f aca="false">$B58/AG$1</f>
        <v>0.00442622950819672</v>
      </c>
      <c r="AH58" s="0" t="n">
        <f aca="false">$B58/AH$1</f>
        <v>0.00428571428571429</v>
      </c>
      <c r="AI58" s="0" t="n">
        <f aca="false">$B58/AI$1</f>
        <v>0.00415384615384615</v>
      </c>
      <c r="AJ58" s="0" t="n">
        <f aca="false">$B58/AJ$1</f>
        <v>0.00402985074626866</v>
      </c>
      <c r="AK58" s="0" t="n">
        <f aca="false">$B58/AK$1</f>
        <v>0.00391304347826087</v>
      </c>
      <c r="AL58" s="0" t="n">
        <f aca="false">$B58/AL$1</f>
        <v>0.00380281690140845</v>
      </c>
      <c r="AM58" s="0" t="n">
        <f aca="false">$B58/AM$1</f>
        <v>0.0036986301369863</v>
      </c>
      <c r="AN58" s="0" t="n">
        <f aca="false">$B58/AN$1</f>
        <v>0.0036</v>
      </c>
      <c r="AO58" s="0" t="n">
        <f aca="false">$B58/AO$1</f>
        <v>0.00350649350649351</v>
      </c>
      <c r="AP58" s="0" t="n">
        <f aca="false">$B58/AP$1</f>
        <v>0.00341772151898734</v>
      </c>
      <c r="AQ58" s="0" t="n">
        <f aca="false">$B58/AQ$1</f>
        <v>0.00333333333333333</v>
      </c>
      <c r="AR58" s="0" t="n">
        <f aca="false">$B58/AR$1</f>
        <v>0.00325301204819277</v>
      </c>
      <c r="AS58" s="0" t="n">
        <f aca="false">$B58/AS$1</f>
        <v>0.00317647058823529</v>
      </c>
      <c r="AT58" s="0" t="n">
        <f aca="false">$B58/AT$1</f>
        <v>0.00310344827586207</v>
      </c>
      <c r="AU58" s="0" t="n">
        <f aca="false">$B58/AU$1</f>
        <v>0.00303370786516854</v>
      </c>
      <c r="AV58" s="0" t="n">
        <f aca="false">$B58/AV$1</f>
        <v>0.00296703296703297</v>
      </c>
      <c r="AW58" s="0" t="n">
        <f aca="false">$B58/AW$1</f>
        <v>0.00290322580645161</v>
      </c>
      <c r="AX58" s="0" t="n">
        <f aca="false">$B58/AX$1</f>
        <v>0.0028421052631579</v>
      </c>
      <c r="AY58" s="0" t="n">
        <f aca="false">$B58/AY$1</f>
        <v>0.00278350515463918</v>
      </c>
      <c r="AZ58" s="0" t="n">
        <f aca="false">$B58/AZ$1</f>
        <v>0.00272727272727273</v>
      </c>
      <c r="BA58" s="0" t="n">
        <f aca="false">$B58/BA$1</f>
        <v>0.00267326732673267</v>
      </c>
      <c r="BB58" s="0" t="n">
        <f aca="false">$B58/BB$1</f>
        <v>0.00262135922330097</v>
      </c>
      <c r="BC58" s="0" t="n">
        <f aca="false">$B58/BC$1</f>
        <v>0.00257142857142857</v>
      </c>
      <c r="BD58" s="0" t="n">
        <f aca="false">$B58/BD$1</f>
        <v>0.00252336448598131</v>
      </c>
      <c r="BE58" s="0" t="n">
        <f aca="false">$B58/BE$1</f>
        <v>0.00247706422018349</v>
      </c>
      <c r="BF58" s="0" t="n">
        <f aca="false">$B58/BF$1</f>
        <v>0.00243243243243243</v>
      </c>
      <c r="BG58" s="0" t="n">
        <f aca="false">$B58/BG$1</f>
        <v>0.00238938053097345</v>
      </c>
      <c r="BH58" s="0" t="n">
        <f aca="false">$B58/BH$1</f>
        <v>0.00234782608695652</v>
      </c>
      <c r="BI58" s="0" t="n">
        <f aca="false">$B58/BI$1</f>
        <v>0.00230769230769231</v>
      </c>
      <c r="BJ58" s="0" t="n">
        <f aca="false">$B58/BJ$1</f>
        <v>0.00226890756302521</v>
      </c>
      <c r="BL58" s="0" t="n">
        <f aca="false">IF($B$57=1,COUNTIF(C58:BJ58,"&gt;="&amp;$C$57),0)</f>
        <v>33</v>
      </c>
      <c r="BM58" s="0" t="n">
        <f aca="false">IF($B$57=1,IF(OR(BS58&gt;=Settings!$B$5,Settings!$C$14&gt;0),MAX(BL58,Settings!$C$14),0),0)</f>
        <v>33</v>
      </c>
      <c r="BN58" s="0" t="n">
        <f aca="false">IF($B$57=1,IF(OR(BS58&gt;=Settings!$B$5,Settings!$C$14&gt;0),MAX(0,(2*MAX(BL58,Settings!$C$14)+1)*$C$57-BS58),MAX(0,Settings!$B$5-BS58)),"")</f>
        <v>0.00830769230769229</v>
      </c>
      <c r="BO58" s="0" t="n">
        <f aca="false">IF($B$57=1,IF(OR(BS58&gt;=Settings!$B$5,Settings!$C$14&gt;0),IF(BL58&lt;=Settings!$C$14,"Protected by electorates",IF(Settings!$C$14=0,MIN(BS58-(2*BL58-1)*$D$57,BS58-Settings!$B$5),BS58-(2*BL58-1)*$D$57)),""),"")</f>
        <v>0.00623188405797104</v>
      </c>
      <c r="BP58" s="0" t="n">
        <f aca="false">IF($B$57=1,IF(OR(BS58&gt;=Settings!$B$5,Settings!$C$14&gt;0),MAX(0,MIN(1,(BS58/$C$57-(2*MAX(BL58,Settings!$C$14)-1))/2)),MIN(1,BS58/Settings!$B$5)),"")</f>
        <v>0</v>
      </c>
      <c r="BQ58" s="0" t="n">
        <f aca="false">IF(AND($B$57=1,COUNTIF(C58:BJ58,$C$57)&gt;0),1,0)</f>
        <v>1</v>
      </c>
      <c r="BR58" s="0" t="n">
        <f aca="false">IF(AND($B$57=1,COUNTIF(C58:BJ58,$D$57)&gt;0),1,0)</f>
        <v>0</v>
      </c>
      <c r="BS58" s="0" t="n">
        <f aca="false">N(IF(Polls!H12="",Polls!H37,Polls!H12))</f>
        <v>0.27</v>
      </c>
      <c r="BT58" s="0" t="str">
        <f aca="false">IF(OR(BS58&gt;=Settings!$B$5,Settings!$C$14&gt;0),"Next seat","Threshold")</f>
        <v>Next seat</v>
      </c>
    </row>
    <row r="59" customFormat="false" ht="15" hidden="false" customHeight="false" outlineLevel="0" collapsed="false">
      <c r="A59" s="0" t="s">
        <v>43</v>
      </c>
      <c r="B59" s="0" t="n">
        <f aca="false">IF(OR(BS59&gt;=Settings!$B$5,Settings!$C$15&gt;0),BS59,0)</f>
        <v>0.28</v>
      </c>
      <c r="C59" s="0" t="n">
        <f aca="false">$B59/C$1</f>
        <v>0.28</v>
      </c>
      <c r="D59" s="0" t="n">
        <f aca="false">$B59/D$1</f>
        <v>0.0933333333333333</v>
      </c>
      <c r="E59" s="0" t="n">
        <f aca="false">$B59/E$1</f>
        <v>0.056</v>
      </c>
      <c r="F59" s="0" t="n">
        <f aca="false">$B59/F$1</f>
        <v>0.04</v>
      </c>
      <c r="G59" s="0" t="n">
        <f aca="false">$B59/G$1</f>
        <v>0.0311111111111111</v>
      </c>
      <c r="H59" s="0" t="n">
        <f aca="false">$B59/H$1</f>
        <v>0.0254545454545455</v>
      </c>
      <c r="I59" s="0" t="n">
        <f aca="false">$B59/I$1</f>
        <v>0.0215384615384615</v>
      </c>
      <c r="J59" s="0" t="n">
        <f aca="false">$B59/J$1</f>
        <v>0.0186666666666667</v>
      </c>
      <c r="K59" s="0" t="n">
        <f aca="false">$B59/K$1</f>
        <v>0.0164705882352941</v>
      </c>
      <c r="L59" s="0" t="n">
        <f aca="false">$B59/L$1</f>
        <v>0.0147368421052632</v>
      </c>
      <c r="M59" s="0" t="n">
        <f aca="false">$B59/M$1</f>
        <v>0.0133333333333333</v>
      </c>
      <c r="N59" s="0" t="n">
        <f aca="false">$B59/N$1</f>
        <v>0.0121739130434783</v>
      </c>
      <c r="O59" s="0" t="n">
        <f aca="false">$B59/O$1</f>
        <v>0.0112</v>
      </c>
      <c r="P59" s="0" t="n">
        <f aca="false">$B59/P$1</f>
        <v>0.0103703703703704</v>
      </c>
      <c r="Q59" s="0" t="n">
        <f aca="false">$B59/Q$1</f>
        <v>0.0096551724137931</v>
      </c>
      <c r="R59" s="0" t="n">
        <f aca="false">$B59/R$1</f>
        <v>0.00903225806451613</v>
      </c>
      <c r="S59" s="0" t="n">
        <f aca="false">$B59/S$1</f>
        <v>0.00848484848484849</v>
      </c>
      <c r="T59" s="0" t="n">
        <f aca="false">$B59/T$1</f>
        <v>0.008</v>
      </c>
      <c r="U59" s="0" t="n">
        <f aca="false">$B59/U$1</f>
        <v>0.00756756756756757</v>
      </c>
      <c r="V59" s="0" t="n">
        <f aca="false">$B59/V$1</f>
        <v>0.00717948717948718</v>
      </c>
      <c r="W59" s="0" t="n">
        <f aca="false">$B59/W$1</f>
        <v>0.00682926829268293</v>
      </c>
      <c r="X59" s="0" t="n">
        <f aca="false">$B59/X$1</f>
        <v>0.00651162790697674</v>
      </c>
      <c r="Y59" s="0" t="n">
        <f aca="false">$B59/Y$1</f>
        <v>0.00622222222222222</v>
      </c>
      <c r="Z59" s="0" t="n">
        <f aca="false">$B59/Z$1</f>
        <v>0.00595744680851064</v>
      </c>
      <c r="AA59" s="0" t="n">
        <f aca="false">$B59/AA$1</f>
        <v>0.00571428571428572</v>
      </c>
      <c r="AB59" s="0" t="n">
        <f aca="false">$B59/AB$1</f>
        <v>0.00549019607843137</v>
      </c>
      <c r="AC59" s="0" t="n">
        <f aca="false">$B59/AC$1</f>
        <v>0.00528301886792453</v>
      </c>
      <c r="AD59" s="0" t="n">
        <f aca="false">$B59/AD$1</f>
        <v>0.00509090909090909</v>
      </c>
      <c r="AE59" s="0" t="n">
        <f aca="false">$B59/AE$1</f>
        <v>0.00491228070175439</v>
      </c>
      <c r="AF59" s="0" t="n">
        <f aca="false">$B59/AF$1</f>
        <v>0.00474576271186441</v>
      </c>
      <c r="AG59" s="0" t="n">
        <f aca="false">$B59/AG$1</f>
        <v>0.00459016393442623</v>
      </c>
      <c r="AH59" s="0" t="n">
        <f aca="false">$B59/AH$1</f>
        <v>0.00444444444444444</v>
      </c>
      <c r="AI59" s="0" t="n">
        <f aca="false">$B59/AI$1</f>
        <v>0.00430769230769231</v>
      </c>
      <c r="AJ59" s="0" t="n">
        <f aca="false">$B59/AJ$1</f>
        <v>0.00417910447761194</v>
      </c>
      <c r="AK59" s="0" t="n">
        <f aca="false">$B59/AK$1</f>
        <v>0.00405797101449275</v>
      </c>
      <c r="AL59" s="0" t="n">
        <f aca="false">$B59/AL$1</f>
        <v>0.00394366197183099</v>
      </c>
      <c r="AM59" s="0" t="n">
        <f aca="false">$B59/AM$1</f>
        <v>0.00383561643835616</v>
      </c>
      <c r="AN59" s="0" t="n">
        <f aca="false">$B59/AN$1</f>
        <v>0.00373333333333333</v>
      </c>
      <c r="AO59" s="0" t="n">
        <f aca="false">$B59/AO$1</f>
        <v>0.00363636363636364</v>
      </c>
      <c r="AP59" s="0" t="n">
        <f aca="false">$B59/AP$1</f>
        <v>0.00354430379746835</v>
      </c>
      <c r="AQ59" s="0" t="n">
        <f aca="false">$B59/AQ$1</f>
        <v>0.00345679012345679</v>
      </c>
      <c r="AR59" s="0" t="n">
        <f aca="false">$B59/AR$1</f>
        <v>0.00337349397590362</v>
      </c>
      <c r="AS59" s="0" t="n">
        <f aca="false">$B59/AS$1</f>
        <v>0.00329411764705882</v>
      </c>
      <c r="AT59" s="0" t="n">
        <f aca="false">$B59/AT$1</f>
        <v>0.0032183908045977</v>
      </c>
      <c r="AU59" s="0" t="n">
        <f aca="false">$B59/AU$1</f>
        <v>0.00314606741573034</v>
      </c>
      <c r="AV59" s="0" t="n">
        <f aca="false">$B59/AV$1</f>
        <v>0.00307692307692308</v>
      </c>
      <c r="AW59" s="0" t="n">
        <f aca="false">$B59/AW$1</f>
        <v>0.00301075268817204</v>
      </c>
      <c r="AX59" s="0" t="n">
        <f aca="false">$B59/AX$1</f>
        <v>0.00294736842105263</v>
      </c>
      <c r="AY59" s="0" t="n">
        <f aca="false">$B59/AY$1</f>
        <v>0.00288659793814433</v>
      </c>
      <c r="AZ59" s="0" t="n">
        <f aca="false">$B59/AZ$1</f>
        <v>0.00282828282828283</v>
      </c>
      <c r="BA59" s="0" t="n">
        <f aca="false">$B59/BA$1</f>
        <v>0.00277227722772277</v>
      </c>
      <c r="BB59" s="0" t="n">
        <f aca="false">$B59/BB$1</f>
        <v>0.00271844660194175</v>
      </c>
      <c r="BC59" s="0" t="n">
        <f aca="false">$B59/BC$1</f>
        <v>0.00266666666666667</v>
      </c>
      <c r="BD59" s="0" t="n">
        <f aca="false">$B59/BD$1</f>
        <v>0.00261682242990654</v>
      </c>
      <c r="BE59" s="0" t="n">
        <f aca="false">$B59/BE$1</f>
        <v>0.00256880733944954</v>
      </c>
      <c r="BF59" s="0" t="n">
        <f aca="false">$B59/BF$1</f>
        <v>0.00252252252252252</v>
      </c>
      <c r="BG59" s="0" t="n">
        <f aca="false">$B59/BG$1</f>
        <v>0.00247787610619469</v>
      </c>
      <c r="BH59" s="0" t="n">
        <f aca="false">$B59/BH$1</f>
        <v>0.00243478260869565</v>
      </c>
      <c r="BI59" s="0" t="n">
        <f aca="false">$B59/BI$1</f>
        <v>0.00239316239316239</v>
      </c>
      <c r="BJ59" s="0" t="n">
        <f aca="false">$B59/BJ$1</f>
        <v>0.00235294117647059</v>
      </c>
      <c r="BL59" s="0" t="n">
        <f aca="false">IF($B$57=1,COUNTIF(C59:BJ59,"&gt;="&amp;$C$57),0)</f>
        <v>34</v>
      </c>
      <c r="BM59" s="0" t="n">
        <f aca="false">IF($B$57=1,IF(OR(BS59&gt;=Settings!$B$5,Settings!$C$15&gt;0),MAX(BL59,Settings!$C$15),0),0)</f>
        <v>34</v>
      </c>
      <c r="BN59" s="0" t="n">
        <f aca="false">IF($B$57=1,IF(OR(BS59&gt;=Settings!$B$5,Settings!$C$15&gt;0),MAX(0,(2*MAX(BL59,Settings!$C$15)+1)*$C$57-BS59),MAX(0,Settings!$B$5-BS59)),"")</f>
        <v>0.00661538461538458</v>
      </c>
      <c r="BO59" s="0" t="n">
        <f aca="false">IF($B$57=1,IF(OR(BS59&gt;=Settings!$B$5,Settings!$C$15&gt;0),IF(BL59&lt;=Settings!$C$15,"Protected by electorates",IF(Settings!$C$15=0,MIN(BS59-(2*BL59-1)*$D$57,BS59-Settings!$B$5),BS59-(2*BL59-1)*$D$57)),""),"")</f>
        <v>0.00811594202898552</v>
      </c>
      <c r="BP59" s="0" t="n">
        <f aca="false">IF($B$57=1,IF(OR(BS59&gt;=Settings!$B$5,Settings!$C$15&gt;0),MAX(0,MIN(1,(BS59/$C$57-(2*MAX(BL59,Settings!$C$15)-1))/2)),MIN(1,BS59/Settings!$B$5)),"")</f>
        <v>0.20370370370371</v>
      </c>
      <c r="BQ59" s="0" t="n">
        <f aca="false">IF(AND($B$57=1,COUNTIF(C59:BJ59,$C$57)&gt;0),1,0)</f>
        <v>0</v>
      </c>
      <c r="BR59" s="0" t="n">
        <f aca="false">IF(AND($B$57=1,COUNTIF(C59:BJ59,$D$57)&gt;0),1,0)</f>
        <v>1</v>
      </c>
      <c r="BS59" s="0" t="n">
        <f aca="false">N(IF(Polls!I12="",Polls!I37,Polls!I12))</f>
        <v>0.28</v>
      </c>
      <c r="BT59" s="0" t="str">
        <f aca="false">IF(OR(BS59&gt;=Settings!$B$5,Settings!$C$15&gt;0),"Next seat","Threshold")</f>
        <v>Next seat</v>
      </c>
    </row>
    <row r="60" customFormat="false" ht="15" hidden="false" customHeight="false" outlineLevel="0" collapsed="false">
      <c r="A60" s="0" t="s">
        <v>45</v>
      </c>
      <c r="B60" s="0" t="n">
        <f aca="false">IF(OR(BS60&gt;=Settings!$B$5,Settings!$C$16&gt;0),BS60,0)</f>
        <v>0.14</v>
      </c>
      <c r="C60" s="0" t="n">
        <f aca="false">$B60/C$1</f>
        <v>0.14</v>
      </c>
      <c r="D60" s="0" t="n">
        <f aca="false">$B60/D$1</f>
        <v>0.0466666666666667</v>
      </c>
      <c r="E60" s="0" t="n">
        <f aca="false">$B60/E$1</f>
        <v>0.028</v>
      </c>
      <c r="F60" s="0" t="n">
        <f aca="false">$B60/F$1</f>
        <v>0.02</v>
      </c>
      <c r="G60" s="0" t="n">
        <f aca="false">$B60/G$1</f>
        <v>0.0155555555555556</v>
      </c>
      <c r="H60" s="0" t="n">
        <f aca="false">$B60/H$1</f>
        <v>0.0127272727272727</v>
      </c>
      <c r="I60" s="0" t="n">
        <f aca="false">$B60/I$1</f>
        <v>0.0107692307692308</v>
      </c>
      <c r="J60" s="0" t="n">
        <f aca="false">$B60/J$1</f>
        <v>0.00933333333333333</v>
      </c>
      <c r="K60" s="0" t="n">
        <f aca="false">$B60/K$1</f>
        <v>0.00823529411764706</v>
      </c>
      <c r="L60" s="0" t="n">
        <f aca="false">$B60/L$1</f>
        <v>0.00736842105263158</v>
      </c>
      <c r="M60" s="0" t="n">
        <f aca="false">$B60/M$1</f>
        <v>0.00666666666666667</v>
      </c>
      <c r="N60" s="0" t="n">
        <f aca="false">$B60/N$1</f>
        <v>0.00608695652173913</v>
      </c>
      <c r="O60" s="0" t="n">
        <f aca="false">$B60/O$1</f>
        <v>0.0056</v>
      </c>
      <c r="P60" s="0" t="n">
        <f aca="false">$B60/P$1</f>
        <v>0.00518518518518519</v>
      </c>
      <c r="Q60" s="0" t="n">
        <f aca="false">$B60/Q$1</f>
        <v>0.00482758620689655</v>
      </c>
      <c r="R60" s="0" t="n">
        <f aca="false">$B60/R$1</f>
        <v>0.00451612903225807</v>
      </c>
      <c r="S60" s="0" t="n">
        <f aca="false">$B60/S$1</f>
        <v>0.00424242424242424</v>
      </c>
      <c r="T60" s="0" t="n">
        <f aca="false">$B60/T$1</f>
        <v>0.004</v>
      </c>
      <c r="U60" s="0" t="n">
        <f aca="false">$B60/U$1</f>
        <v>0.00378378378378378</v>
      </c>
      <c r="V60" s="0" t="n">
        <f aca="false">$B60/V$1</f>
        <v>0.00358974358974359</v>
      </c>
      <c r="W60" s="0" t="n">
        <f aca="false">$B60/W$1</f>
        <v>0.00341463414634146</v>
      </c>
      <c r="X60" s="0" t="n">
        <f aca="false">$B60/X$1</f>
        <v>0.00325581395348837</v>
      </c>
      <c r="Y60" s="0" t="n">
        <f aca="false">$B60/Y$1</f>
        <v>0.00311111111111111</v>
      </c>
      <c r="Z60" s="0" t="n">
        <f aca="false">$B60/Z$1</f>
        <v>0.00297872340425532</v>
      </c>
      <c r="AA60" s="0" t="n">
        <f aca="false">$B60/AA$1</f>
        <v>0.00285714285714286</v>
      </c>
      <c r="AB60" s="0" t="n">
        <f aca="false">$B60/AB$1</f>
        <v>0.00274509803921569</v>
      </c>
      <c r="AC60" s="0" t="n">
        <f aca="false">$B60/AC$1</f>
        <v>0.00264150943396226</v>
      </c>
      <c r="AD60" s="0" t="n">
        <f aca="false">$B60/AD$1</f>
        <v>0.00254545454545455</v>
      </c>
      <c r="AE60" s="0" t="n">
        <f aca="false">$B60/AE$1</f>
        <v>0.00245614035087719</v>
      </c>
      <c r="AF60" s="0" t="n">
        <f aca="false">$B60/AF$1</f>
        <v>0.0023728813559322</v>
      </c>
      <c r="AG60" s="0" t="n">
        <f aca="false">$B60/AG$1</f>
        <v>0.00229508196721312</v>
      </c>
      <c r="AH60" s="0" t="n">
        <f aca="false">$B60/AH$1</f>
        <v>0.00222222222222222</v>
      </c>
      <c r="AI60" s="0" t="n">
        <f aca="false">$B60/AI$1</f>
        <v>0.00215384615384615</v>
      </c>
      <c r="AJ60" s="0" t="n">
        <f aca="false">$B60/AJ$1</f>
        <v>0.00208955223880597</v>
      </c>
      <c r="AK60" s="0" t="n">
        <f aca="false">$B60/AK$1</f>
        <v>0.00202898550724638</v>
      </c>
      <c r="AL60" s="0" t="n">
        <f aca="false">$B60/AL$1</f>
        <v>0.00197183098591549</v>
      </c>
      <c r="AM60" s="0" t="n">
        <f aca="false">$B60/AM$1</f>
        <v>0.00191780821917808</v>
      </c>
      <c r="AN60" s="0" t="n">
        <f aca="false">$B60/AN$1</f>
        <v>0.00186666666666667</v>
      </c>
      <c r="AO60" s="0" t="n">
        <f aca="false">$B60/AO$1</f>
        <v>0.00181818181818182</v>
      </c>
      <c r="AP60" s="0" t="n">
        <f aca="false">$B60/AP$1</f>
        <v>0.00177215189873418</v>
      </c>
      <c r="AQ60" s="0" t="n">
        <f aca="false">$B60/AQ$1</f>
        <v>0.0017283950617284</v>
      </c>
      <c r="AR60" s="0" t="n">
        <f aca="false">$B60/AR$1</f>
        <v>0.00168674698795181</v>
      </c>
      <c r="AS60" s="0" t="n">
        <f aca="false">$B60/AS$1</f>
        <v>0.00164705882352941</v>
      </c>
      <c r="AT60" s="0" t="n">
        <f aca="false">$B60/AT$1</f>
        <v>0.00160919540229885</v>
      </c>
      <c r="AU60" s="0" t="n">
        <f aca="false">$B60/AU$1</f>
        <v>0.00157303370786517</v>
      </c>
      <c r="AV60" s="0" t="n">
        <f aca="false">$B60/AV$1</f>
        <v>0.00153846153846154</v>
      </c>
      <c r="AW60" s="0" t="n">
        <f aca="false">$B60/AW$1</f>
        <v>0.00150537634408602</v>
      </c>
      <c r="AX60" s="0" t="n">
        <f aca="false">$B60/AX$1</f>
        <v>0.00147368421052632</v>
      </c>
      <c r="AY60" s="0" t="n">
        <f aca="false">$B60/AY$1</f>
        <v>0.00144329896907217</v>
      </c>
      <c r="AZ60" s="0" t="n">
        <f aca="false">$B60/AZ$1</f>
        <v>0.00141414141414141</v>
      </c>
      <c r="BA60" s="0" t="n">
        <f aca="false">$B60/BA$1</f>
        <v>0.00138613861386139</v>
      </c>
      <c r="BB60" s="0" t="n">
        <f aca="false">$B60/BB$1</f>
        <v>0.00135922330097087</v>
      </c>
      <c r="BC60" s="0" t="n">
        <f aca="false">$B60/BC$1</f>
        <v>0.00133333333333333</v>
      </c>
      <c r="BD60" s="0" t="n">
        <f aca="false">$B60/BD$1</f>
        <v>0.00130841121495327</v>
      </c>
      <c r="BE60" s="0" t="n">
        <f aca="false">$B60/BE$1</f>
        <v>0.00128440366972477</v>
      </c>
      <c r="BF60" s="0" t="n">
        <f aca="false">$B60/BF$1</f>
        <v>0.00126126126126126</v>
      </c>
      <c r="BG60" s="0" t="n">
        <f aca="false">$B60/BG$1</f>
        <v>0.00123893805309735</v>
      </c>
      <c r="BH60" s="0" t="n">
        <f aca="false">$B60/BH$1</f>
        <v>0.00121739130434783</v>
      </c>
      <c r="BI60" s="0" t="n">
        <f aca="false">$B60/BI$1</f>
        <v>0.0011965811965812</v>
      </c>
      <c r="BJ60" s="0" t="n">
        <f aca="false">$B60/BJ$1</f>
        <v>0.00117647058823529</v>
      </c>
      <c r="BL60" s="0" t="n">
        <f aca="false">IF($B$57=1,COUNTIF(C60:BJ60,"&gt;="&amp;$C$57),0)</f>
        <v>17</v>
      </c>
      <c r="BM60" s="0" t="n">
        <f aca="false">IF($B$57=1,IF(OR(BS60&gt;=Settings!$B$5,Settings!$C$16&gt;0),MAX(BL60,Settings!$C$16),0),0)</f>
        <v>17</v>
      </c>
      <c r="BN60" s="0" t="n">
        <f aca="false">IF($B$57=1,IF(OR(BS60&gt;=Settings!$B$5,Settings!$C$16&gt;0),MAX(0,(2*MAX(BL60,Settings!$C$16)+1)*$C$57-BS60),MAX(0,Settings!$B$5-BS60)),"")</f>
        <v>0.00538461538461538</v>
      </c>
      <c r="BO60" s="0" t="n">
        <f aca="false">IF($B$57=1,IF(OR(BS60&gt;=Settings!$B$5,Settings!$C$16&gt;0),IF(BL60&lt;=Settings!$C$16,"Protected by electorates",IF(Settings!$C$16=0,MIN(BS60-(2*BL60-1)*$D$57,BS60-Settings!$B$5),BS60-(2*BL60-1)*$D$57)),""),"")</f>
        <v>0.00608695652173913</v>
      </c>
      <c r="BP60" s="0" t="n">
        <f aca="false">IF($B$57=1,IF(OR(BS60&gt;=Settings!$B$5,Settings!$C$16&gt;0),MAX(0,MIN(1,(BS60/$C$57-(2*MAX(BL60,Settings!$C$16)-1))/2)),MIN(1,BS60/Settings!$B$5)),"")</f>
        <v>0.351851851851855</v>
      </c>
      <c r="BQ60" s="0" t="n">
        <f aca="false">IF(AND($B$57=1,COUNTIF(C60:BJ60,$C$57)&gt;0),1,0)</f>
        <v>0</v>
      </c>
      <c r="BR60" s="0" t="n">
        <f aca="false">IF(AND($B$57=1,COUNTIF(C60:BJ60,$D$57)&gt;0),1,0)</f>
        <v>0</v>
      </c>
      <c r="BS60" s="0" t="n">
        <f aca="false">N(IF(Polls!J12="",Polls!J37,Polls!J12))</f>
        <v>0.14</v>
      </c>
      <c r="BT60" s="0" t="str">
        <f aca="false">IF(OR(BS60&gt;=Settings!$B$5,Settings!$C$16&gt;0),"Next seat","Threshold")</f>
        <v>Next seat</v>
      </c>
    </row>
    <row r="61" customFormat="false" ht="15" hidden="false" customHeight="false" outlineLevel="0" collapsed="false">
      <c r="A61" s="0" t="s">
        <v>46</v>
      </c>
      <c r="B61" s="0" t="n">
        <f aca="false">IF(OR(BS61&gt;=Settings!$B$5,Settings!$C$17&gt;0),BS61,0)</f>
        <v>0.09</v>
      </c>
      <c r="C61" s="0" t="n">
        <f aca="false">$B61/C$1</f>
        <v>0.09</v>
      </c>
      <c r="D61" s="0" t="n">
        <f aca="false">$B61/D$1</f>
        <v>0.03</v>
      </c>
      <c r="E61" s="0" t="n">
        <f aca="false">$B61/E$1</f>
        <v>0.018</v>
      </c>
      <c r="F61" s="0" t="n">
        <f aca="false">$B61/F$1</f>
        <v>0.0128571428571429</v>
      </c>
      <c r="G61" s="0" t="n">
        <f aca="false">$B61/G$1</f>
        <v>0.01</v>
      </c>
      <c r="H61" s="0" t="n">
        <f aca="false">$B61/H$1</f>
        <v>0.00818181818181818</v>
      </c>
      <c r="I61" s="0" t="n">
        <f aca="false">$B61/I$1</f>
        <v>0.00692307692307692</v>
      </c>
      <c r="J61" s="0" t="n">
        <f aca="false">$B61/J$1</f>
        <v>0.006</v>
      </c>
      <c r="K61" s="0" t="n">
        <f aca="false">$B61/K$1</f>
        <v>0.00529411764705882</v>
      </c>
      <c r="L61" s="0" t="n">
        <f aca="false">$B61/L$1</f>
        <v>0.00473684210526316</v>
      </c>
      <c r="M61" s="0" t="n">
        <f aca="false">$B61/M$1</f>
        <v>0.00428571428571429</v>
      </c>
      <c r="N61" s="0" t="n">
        <f aca="false">$B61/N$1</f>
        <v>0.00391304347826087</v>
      </c>
      <c r="O61" s="0" t="n">
        <f aca="false">$B61/O$1</f>
        <v>0.0036</v>
      </c>
      <c r="P61" s="0" t="n">
        <f aca="false">$B61/P$1</f>
        <v>0.00333333333333333</v>
      </c>
      <c r="Q61" s="0" t="n">
        <f aca="false">$B61/Q$1</f>
        <v>0.00310344827586207</v>
      </c>
      <c r="R61" s="0" t="n">
        <f aca="false">$B61/R$1</f>
        <v>0.00290322580645161</v>
      </c>
      <c r="S61" s="0" t="n">
        <f aca="false">$B61/S$1</f>
        <v>0.00272727272727273</v>
      </c>
      <c r="T61" s="0" t="n">
        <f aca="false">$B61/T$1</f>
        <v>0.00257142857142857</v>
      </c>
      <c r="U61" s="0" t="n">
        <f aca="false">$B61/U$1</f>
        <v>0.00243243243243243</v>
      </c>
      <c r="V61" s="0" t="n">
        <f aca="false">$B61/V$1</f>
        <v>0.00230769230769231</v>
      </c>
      <c r="W61" s="0" t="n">
        <f aca="false">$B61/W$1</f>
        <v>0.00219512195121951</v>
      </c>
      <c r="X61" s="0" t="n">
        <f aca="false">$B61/X$1</f>
        <v>0.00209302325581395</v>
      </c>
      <c r="Y61" s="0" t="n">
        <f aca="false">$B61/Y$1</f>
        <v>0.002</v>
      </c>
      <c r="Z61" s="0" t="n">
        <f aca="false">$B61/Z$1</f>
        <v>0.00191489361702128</v>
      </c>
      <c r="AA61" s="0" t="n">
        <f aca="false">$B61/AA$1</f>
        <v>0.00183673469387755</v>
      </c>
      <c r="AB61" s="0" t="n">
        <f aca="false">$B61/AB$1</f>
        <v>0.00176470588235294</v>
      </c>
      <c r="AC61" s="0" t="n">
        <f aca="false">$B61/AC$1</f>
        <v>0.00169811320754717</v>
      </c>
      <c r="AD61" s="0" t="n">
        <f aca="false">$B61/AD$1</f>
        <v>0.00163636363636364</v>
      </c>
      <c r="AE61" s="0" t="n">
        <f aca="false">$B61/AE$1</f>
        <v>0.00157894736842105</v>
      </c>
      <c r="AF61" s="0" t="n">
        <f aca="false">$B61/AF$1</f>
        <v>0.00152542372881356</v>
      </c>
      <c r="AG61" s="0" t="n">
        <f aca="false">$B61/AG$1</f>
        <v>0.00147540983606557</v>
      </c>
      <c r="AH61" s="0" t="n">
        <f aca="false">$B61/AH$1</f>
        <v>0.00142857142857143</v>
      </c>
      <c r="AI61" s="0" t="n">
        <f aca="false">$B61/AI$1</f>
        <v>0.00138461538461538</v>
      </c>
      <c r="AJ61" s="0" t="n">
        <f aca="false">$B61/AJ$1</f>
        <v>0.00134328358208955</v>
      </c>
      <c r="AK61" s="0" t="n">
        <f aca="false">$B61/AK$1</f>
        <v>0.00130434782608696</v>
      </c>
      <c r="AL61" s="0" t="n">
        <f aca="false">$B61/AL$1</f>
        <v>0.00126760563380282</v>
      </c>
      <c r="AM61" s="0" t="n">
        <f aca="false">$B61/AM$1</f>
        <v>0.00123287671232877</v>
      </c>
      <c r="AN61" s="0" t="n">
        <f aca="false">$B61/AN$1</f>
        <v>0.0012</v>
      </c>
      <c r="AO61" s="0" t="n">
        <f aca="false">$B61/AO$1</f>
        <v>0.00116883116883117</v>
      </c>
      <c r="AP61" s="0" t="n">
        <f aca="false">$B61/AP$1</f>
        <v>0.00113924050632911</v>
      </c>
      <c r="AQ61" s="0" t="n">
        <f aca="false">$B61/AQ$1</f>
        <v>0.00111111111111111</v>
      </c>
      <c r="AR61" s="0" t="n">
        <f aca="false">$B61/AR$1</f>
        <v>0.00108433734939759</v>
      </c>
      <c r="AS61" s="0" t="n">
        <f aca="false">$B61/AS$1</f>
        <v>0.00105882352941176</v>
      </c>
      <c r="AT61" s="0" t="n">
        <f aca="false">$B61/AT$1</f>
        <v>0.00103448275862069</v>
      </c>
      <c r="AU61" s="0" t="n">
        <f aca="false">$B61/AU$1</f>
        <v>0.00101123595505618</v>
      </c>
      <c r="AV61" s="0" t="n">
        <f aca="false">$B61/AV$1</f>
        <v>0.000989010989010989</v>
      </c>
      <c r="AW61" s="0" t="n">
        <f aca="false">$B61/AW$1</f>
        <v>0.000967741935483871</v>
      </c>
      <c r="AX61" s="0" t="n">
        <f aca="false">$B61/AX$1</f>
        <v>0.000947368421052632</v>
      </c>
      <c r="AY61" s="0" t="n">
        <f aca="false">$B61/AY$1</f>
        <v>0.000927835051546392</v>
      </c>
      <c r="AZ61" s="0" t="n">
        <f aca="false">$B61/AZ$1</f>
        <v>0.000909090909090909</v>
      </c>
      <c r="BA61" s="0" t="n">
        <f aca="false">$B61/BA$1</f>
        <v>0.000891089108910891</v>
      </c>
      <c r="BB61" s="0" t="n">
        <f aca="false">$B61/BB$1</f>
        <v>0.00087378640776699</v>
      </c>
      <c r="BC61" s="0" t="n">
        <f aca="false">$B61/BC$1</f>
        <v>0.000857142857142857</v>
      </c>
      <c r="BD61" s="0" t="n">
        <f aca="false">$B61/BD$1</f>
        <v>0.000841121495327103</v>
      </c>
      <c r="BE61" s="0" t="n">
        <f aca="false">$B61/BE$1</f>
        <v>0.000825688073394495</v>
      </c>
      <c r="BF61" s="0" t="n">
        <f aca="false">$B61/BF$1</f>
        <v>0.000810810810810811</v>
      </c>
      <c r="BG61" s="0" t="n">
        <f aca="false">$B61/BG$1</f>
        <v>0.00079646017699115</v>
      </c>
      <c r="BH61" s="0" t="n">
        <f aca="false">$B61/BH$1</f>
        <v>0.000782608695652174</v>
      </c>
      <c r="BI61" s="0" t="n">
        <f aca="false">$B61/BI$1</f>
        <v>0.000769230769230769</v>
      </c>
      <c r="BJ61" s="0" t="n">
        <f aca="false">$B61/BJ$1</f>
        <v>0.000756302521008403</v>
      </c>
      <c r="BL61" s="0" t="n">
        <f aca="false">IF($B$57=1,COUNTIF(C61:BJ61,"&gt;="&amp;$C$57),0)</f>
        <v>11</v>
      </c>
      <c r="BM61" s="0" t="n">
        <f aca="false">IF($B$57=1,IF(OR(BS61&gt;=Settings!$B$5,Settings!$C$17&gt;0),MAX(BL61,Settings!$C$17),0),0)</f>
        <v>11</v>
      </c>
      <c r="BN61" s="0" t="n">
        <f aca="false">IF($B$57=1,IF(OR(BS61&gt;=Settings!$B$5,Settings!$C$17&gt;0),MAX(0,(2*MAX(BL61,Settings!$C$17)+1)*$C$57-BS61),MAX(0,Settings!$B$5-BS61)),"")</f>
        <v>0.00553846153846155</v>
      </c>
      <c r="BO61" s="0" t="n">
        <f aca="false">IF($B$57=1,IF(OR(BS61&gt;=Settings!$B$5,Settings!$C$17&gt;0),IF(BL61&lt;=Settings!$C$17,"Protected by electorates",IF(Settings!$C$17=0,MIN(BS61-(2*BL61-1)*$D$57,BS61-Settings!$B$5),BS61-(2*BL61-1)*$D$57)),""),"")</f>
        <v>0.00478260869565217</v>
      </c>
      <c r="BP61" s="0" t="n">
        <f aca="false">IF($B$57=1,IF(OR(BS61&gt;=Settings!$B$5,Settings!$C$17&gt;0),MAX(0,MIN(1,(BS61/$C$57-(2*MAX(BL61,Settings!$C$17)-1))/2)),MIN(1,BS61/Settings!$B$5)),"")</f>
        <v>0.333333333333334</v>
      </c>
      <c r="BQ61" s="0" t="n">
        <f aca="false">IF(AND($B$57=1,COUNTIF(C61:BJ61,$C$57)&gt;0),1,0)</f>
        <v>0</v>
      </c>
      <c r="BR61" s="0" t="n">
        <f aca="false">IF(AND($B$57=1,COUNTIF(C61:BJ61,$D$57)&gt;0),1,0)</f>
        <v>0</v>
      </c>
      <c r="BS61" s="0" t="n">
        <f aca="false">N(IF(Polls!K12="",Polls!K37,Polls!K12))</f>
        <v>0.09</v>
      </c>
      <c r="BT61" s="0" t="str">
        <f aca="false">IF(OR(BS61&gt;=Settings!$B$5,Settings!$C$17&gt;0),"Next seat","Threshold")</f>
        <v>Next seat</v>
      </c>
    </row>
    <row r="62" customFormat="false" ht="15" hidden="false" customHeight="false" outlineLevel="0" collapsed="false">
      <c r="A62" s="0" t="s">
        <v>48</v>
      </c>
      <c r="B62" s="0" t="n">
        <f aca="false">IF(OR(BS62&gt;=Settings!$B$5,Settings!$C$18&gt;0),BS62,0)</f>
        <v>0.13</v>
      </c>
      <c r="C62" s="0" t="n">
        <f aca="false">$B62/C$1</f>
        <v>0.13</v>
      </c>
      <c r="D62" s="0" t="n">
        <f aca="false">$B62/D$1</f>
        <v>0.0433333333333333</v>
      </c>
      <c r="E62" s="0" t="n">
        <f aca="false">$B62/E$1</f>
        <v>0.026</v>
      </c>
      <c r="F62" s="0" t="n">
        <f aca="false">$B62/F$1</f>
        <v>0.0185714285714286</v>
      </c>
      <c r="G62" s="0" t="n">
        <f aca="false">$B62/G$1</f>
        <v>0.0144444444444444</v>
      </c>
      <c r="H62" s="0" t="n">
        <f aca="false">$B62/H$1</f>
        <v>0.0118181818181818</v>
      </c>
      <c r="I62" s="0" t="n">
        <f aca="false">$B62/I$1</f>
        <v>0.01</v>
      </c>
      <c r="J62" s="0" t="n">
        <f aca="false">$B62/J$1</f>
        <v>0.00866666666666667</v>
      </c>
      <c r="K62" s="0" t="n">
        <f aca="false">$B62/K$1</f>
        <v>0.00764705882352941</v>
      </c>
      <c r="L62" s="0" t="n">
        <f aca="false">$B62/L$1</f>
        <v>0.0068421052631579</v>
      </c>
      <c r="M62" s="0" t="n">
        <f aca="false">$B62/M$1</f>
        <v>0.00619047619047619</v>
      </c>
      <c r="N62" s="0" t="n">
        <f aca="false">$B62/N$1</f>
        <v>0.00565217391304348</v>
      </c>
      <c r="O62" s="0" t="n">
        <f aca="false">$B62/O$1</f>
        <v>0.0052</v>
      </c>
      <c r="P62" s="0" t="n">
        <f aca="false">$B62/P$1</f>
        <v>0.00481481481481482</v>
      </c>
      <c r="Q62" s="0" t="n">
        <f aca="false">$B62/Q$1</f>
        <v>0.00448275862068966</v>
      </c>
      <c r="R62" s="0" t="n">
        <f aca="false">$B62/R$1</f>
        <v>0.00419354838709677</v>
      </c>
      <c r="S62" s="0" t="n">
        <f aca="false">$B62/S$1</f>
        <v>0.00393939393939394</v>
      </c>
      <c r="T62" s="0" t="n">
        <f aca="false">$B62/T$1</f>
        <v>0.00371428571428571</v>
      </c>
      <c r="U62" s="0" t="n">
        <f aca="false">$B62/U$1</f>
        <v>0.00351351351351351</v>
      </c>
      <c r="V62" s="0" t="n">
        <f aca="false">$B62/V$1</f>
        <v>0.00333333333333333</v>
      </c>
      <c r="W62" s="0" t="n">
        <f aca="false">$B62/W$1</f>
        <v>0.00317073170731707</v>
      </c>
      <c r="X62" s="0" t="n">
        <f aca="false">$B62/X$1</f>
        <v>0.00302325581395349</v>
      </c>
      <c r="Y62" s="0" t="n">
        <f aca="false">$B62/Y$1</f>
        <v>0.00288888888888889</v>
      </c>
      <c r="Z62" s="0" t="n">
        <f aca="false">$B62/Z$1</f>
        <v>0.00276595744680851</v>
      </c>
      <c r="AA62" s="0" t="n">
        <f aca="false">$B62/AA$1</f>
        <v>0.0026530612244898</v>
      </c>
      <c r="AB62" s="0" t="n">
        <f aca="false">$B62/AB$1</f>
        <v>0.00254901960784314</v>
      </c>
      <c r="AC62" s="0" t="n">
        <f aca="false">$B62/AC$1</f>
        <v>0.00245283018867925</v>
      </c>
      <c r="AD62" s="0" t="n">
        <f aca="false">$B62/AD$1</f>
        <v>0.00236363636363636</v>
      </c>
      <c r="AE62" s="0" t="n">
        <f aca="false">$B62/AE$1</f>
        <v>0.00228070175438597</v>
      </c>
      <c r="AF62" s="0" t="n">
        <f aca="false">$B62/AF$1</f>
        <v>0.00220338983050847</v>
      </c>
      <c r="AG62" s="0" t="n">
        <f aca="false">$B62/AG$1</f>
        <v>0.00213114754098361</v>
      </c>
      <c r="AH62" s="0" t="n">
        <f aca="false">$B62/AH$1</f>
        <v>0.00206349206349206</v>
      </c>
      <c r="AI62" s="0" t="n">
        <f aca="false">$B62/AI$1</f>
        <v>0.002</v>
      </c>
      <c r="AJ62" s="0" t="n">
        <f aca="false">$B62/AJ$1</f>
        <v>0.00194029850746269</v>
      </c>
      <c r="AK62" s="0" t="n">
        <f aca="false">$B62/AK$1</f>
        <v>0.00188405797101449</v>
      </c>
      <c r="AL62" s="0" t="n">
        <f aca="false">$B62/AL$1</f>
        <v>0.00183098591549296</v>
      </c>
      <c r="AM62" s="0" t="n">
        <f aca="false">$B62/AM$1</f>
        <v>0.00178082191780822</v>
      </c>
      <c r="AN62" s="0" t="n">
        <f aca="false">$B62/AN$1</f>
        <v>0.00173333333333333</v>
      </c>
      <c r="AO62" s="0" t="n">
        <f aca="false">$B62/AO$1</f>
        <v>0.00168831168831169</v>
      </c>
      <c r="AP62" s="0" t="n">
        <f aca="false">$B62/AP$1</f>
        <v>0.00164556962025316</v>
      </c>
      <c r="AQ62" s="0" t="n">
        <f aca="false">$B62/AQ$1</f>
        <v>0.00160493827160494</v>
      </c>
      <c r="AR62" s="0" t="n">
        <f aca="false">$B62/AR$1</f>
        <v>0.00156626506024096</v>
      </c>
      <c r="AS62" s="0" t="n">
        <f aca="false">$B62/AS$1</f>
        <v>0.00152941176470588</v>
      </c>
      <c r="AT62" s="0" t="n">
        <f aca="false">$B62/AT$1</f>
        <v>0.00149425287356322</v>
      </c>
      <c r="AU62" s="0" t="n">
        <f aca="false">$B62/AU$1</f>
        <v>0.00146067415730337</v>
      </c>
      <c r="AV62" s="0" t="n">
        <f aca="false">$B62/AV$1</f>
        <v>0.00142857142857143</v>
      </c>
      <c r="AW62" s="0" t="n">
        <f aca="false">$B62/AW$1</f>
        <v>0.00139784946236559</v>
      </c>
      <c r="AX62" s="0" t="n">
        <f aca="false">$B62/AX$1</f>
        <v>0.00136842105263158</v>
      </c>
      <c r="AY62" s="0" t="n">
        <f aca="false">$B62/AY$1</f>
        <v>0.00134020618556701</v>
      </c>
      <c r="AZ62" s="0" t="n">
        <f aca="false">$B62/AZ$1</f>
        <v>0.00131313131313131</v>
      </c>
      <c r="BA62" s="0" t="n">
        <f aca="false">$B62/BA$1</f>
        <v>0.00128712871287129</v>
      </c>
      <c r="BB62" s="0" t="n">
        <f aca="false">$B62/BB$1</f>
        <v>0.0012621359223301</v>
      </c>
      <c r="BC62" s="0" t="n">
        <f aca="false">$B62/BC$1</f>
        <v>0.00123809523809524</v>
      </c>
      <c r="BD62" s="0" t="n">
        <f aca="false">$B62/BD$1</f>
        <v>0.00121495327102804</v>
      </c>
      <c r="BE62" s="0" t="n">
        <f aca="false">$B62/BE$1</f>
        <v>0.00119266055045872</v>
      </c>
      <c r="BF62" s="0" t="n">
        <f aca="false">$B62/BF$1</f>
        <v>0.00117117117117117</v>
      </c>
      <c r="BG62" s="0" t="n">
        <f aca="false">$B62/BG$1</f>
        <v>0.00115044247787611</v>
      </c>
      <c r="BH62" s="0" t="n">
        <f aca="false">$B62/BH$1</f>
        <v>0.0011304347826087</v>
      </c>
      <c r="BI62" s="0" t="n">
        <f aca="false">$B62/BI$1</f>
        <v>0.00111111111111111</v>
      </c>
      <c r="BJ62" s="0" t="n">
        <f aca="false">$B62/BJ$1</f>
        <v>0.00109243697478992</v>
      </c>
      <c r="BL62" s="0" t="n">
        <f aca="false">IF($B$57=1,COUNTIF(C62:BJ62,"&gt;="&amp;$C$57),0)</f>
        <v>16</v>
      </c>
      <c r="BM62" s="0" t="n">
        <f aca="false">IF($B$57=1,IF(OR(BS62&gt;=Settings!$B$5,Settings!$C$18&gt;0),MAX(BL62,Settings!$C$18),0),0)</f>
        <v>16</v>
      </c>
      <c r="BN62" s="0" t="n">
        <f aca="false">IF($B$57=1,IF(OR(BS62&gt;=Settings!$B$5,Settings!$C$18&gt;0),MAX(0,(2*MAX(BL62,Settings!$C$18)+1)*$C$57-BS62),MAX(0,Settings!$B$5-BS62)),"")</f>
        <v>0.00707692307692306</v>
      </c>
      <c r="BO62" s="0" t="n">
        <f aca="false">IF($B$57=1,IF(OR(BS62&gt;=Settings!$B$5,Settings!$C$18&gt;0),IF(BL62&lt;=Settings!$C$18,"Protected by electorates",IF(Settings!$C$18=0,MIN(BS62-(2*BL62-1)*$D$57,BS62-Settings!$B$5),BS62-(2*BL62-1)*$D$57)),""),"")</f>
        <v>0.00420289855072464</v>
      </c>
      <c r="BP62" s="0" t="n">
        <f aca="false">IF($B$57=1,IF(OR(BS62&gt;=Settings!$B$5,Settings!$C$18&gt;0),MAX(0,MIN(1,(BS62/$C$57-(2*MAX(BL62,Settings!$C$18)-1))/2)),MIN(1,BS62/Settings!$B$5)),"")</f>
        <v>0.148148148148149</v>
      </c>
      <c r="BQ62" s="0" t="n">
        <f aca="false">IF(AND($B$57=1,COUNTIF(C62:BJ62,$C$57)&gt;0),1,0)</f>
        <v>0</v>
      </c>
      <c r="BR62" s="0" t="n">
        <f aca="false">IF(AND($B$57=1,COUNTIF(C62:BJ62,$D$57)&gt;0),1,0)</f>
        <v>0</v>
      </c>
      <c r="BS62" s="0" t="n">
        <f aca="false">N(IF(Polls!L12="",Polls!L37,Polls!L12))</f>
        <v>0.13</v>
      </c>
      <c r="BT62" s="0" t="str">
        <f aca="false">IF(OR(BS62&gt;=Settings!$B$5,Settings!$C$18&gt;0),"Next seat","Threshold")</f>
        <v>Next seat</v>
      </c>
    </row>
    <row r="63" customFormat="false" ht="15" hidden="false" customHeight="false" outlineLevel="0" collapsed="false">
      <c r="A63" s="0" t="s">
        <v>50</v>
      </c>
      <c r="B63" s="0" t="n">
        <f aca="false">IF(OR(BS63&gt;=Settings!$B$5,Settings!$C$19&gt;0),BS63,0)</f>
        <v>0.02</v>
      </c>
      <c r="C63" s="0" t="n">
        <f aca="false">$B63/C$1</f>
        <v>0.02</v>
      </c>
      <c r="D63" s="0" t="n">
        <f aca="false">$B63/D$1</f>
        <v>0.00666666666666667</v>
      </c>
      <c r="E63" s="0" t="n">
        <f aca="false">$B63/E$1</f>
        <v>0.004</v>
      </c>
      <c r="F63" s="0" t="n">
        <f aca="false">$B63/F$1</f>
        <v>0.00285714285714286</v>
      </c>
      <c r="G63" s="0" t="n">
        <f aca="false">$B63/G$1</f>
        <v>0.00222222222222222</v>
      </c>
      <c r="H63" s="0" t="n">
        <f aca="false">$B63/H$1</f>
        <v>0.00181818181818182</v>
      </c>
      <c r="I63" s="0" t="n">
        <f aca="false">$B63/I$1</f>
        <v>0.00153846153846154</v>
      </c>
      <c r="J63" s="0" t="n">
        <f aca="false">$B63/J$1</f>
        <v>0.00133333333333333</v>
      </c>
      <c r="K63" s="0" t="n">
        <f aca="false">$B63/K$1</f>
        <v>0.00117647058823529</v>
      </c>
      <c r="L63" s="0" t="n">
        <f aca="false">$B63/L$1</f>
        <v>0.00105263157894737</v>
      </c>
      <c r="M63" s="0" t="n">
        <f aca="false">$B63/M$1</f>
        <v>0.000952380952380952</v>
      </c>
      <c r="N63" s="0" t="n">
        <f aca="false">$B63/N$1</f>
        <v>0.000869565217391304</v>
      </c>
      <c r="O63" s="0" t="n">
        <f aca="false">$B63/O$1</f>
        <v>0.0008</v>
      </c>
      <c r="P63" s="0" t="n">
        <f aca="false">$B63/P$1</f>
        <v>0.000740740740740741</v>
      </c>
      <c r="Q63" s="0" t="n">
        <f aca="false">$B63/Q$1</f>
        <v>0.000689655172413793</v>
      </c>
      <c r="R63" s="0" t="n">
        <f aca="false">$B63/R$1</f>
        <v>0.000645161290322581</v>
      </c>
      <c r="S63" s="0" t="n">
        <f aca="false">$B63/S$1</f>
        <v>0.000606060606060606</v>
      </c>
      <c r="T63" s="0" t="n">
        <f aca="false">$B63/T$1</f>
        <v>0.000571428571428572</v>
      </c>
      <c r="U63" s="0" t="n">
        <f aca="false">$B63/U$1</f>
        <v>0.000540540540540541</v>
      </c>
      <c r="V63" s="0" t="n">
        <f aca="false">$B63/V$1</f>
        <v>0.000512820512820513</v>
      </c>
      <c r="W63" s="0" t="n">
        <f aca="false">$B63/W$1</f>
        <v>0.000487804878048781</v>
      </c>
      <c r="X63" s="0" t="n">
        <f aca="false">$B63/X$1</f>
        <v>0.000465116279069767</v>
      </c>
      <c r="Y63" s="0" t="n">
        <f aca="false">$B63/Y$1</f>
        <v>0.000444444444444444</v>
      </c>
      <c r="Z63" s="0" t="n">
        <f aca="false">$B63/Z$1</f>
        <v>0.000425531914893617</v>
      </c>
      <c r="AA63" s="0" t="n">
        <f aca="false">$B63/AA$1</f>
        <v>0.000408163265306122</v>
      </c>
      <c r="AB63" s="0" t="n">
        <f aca="false">$B63/AB$1</f>
        <v>0.000392156862745098</v>
      </c>
      <c r="AC63" s="0" t="n">
        <f aca="false">$B63/AC$1</f>
        <v>0.000377358490566038</v>
      </c>
      <c r="AD63" s="0" t="n">
        <f aca="false">$B63/AD$1</f>
        <v>0.000363636363636364</v>
      </c>
      <c r="AE63" s="0" t="n">
        <f aca="false">$B63/AE$1</f>
        <v>0.000350877192982456</v>
      </c>
      <c r="AF63" s="0" t="n">
        <f aca="false">$B63/AF$1</f>
        <v>0.000338983050847458</v>
      </c>
      <c r="AG63" s="0" t="n">
        <f aca="false">$B63/AG$1</f>
        <v>0.000327868852459016</v>
      </c>
      <c r="AH63" s="0" t="n">
        <f aca="false">$B63/AH$1</f>
        <v>0.000317460317460317</v>
      </c>
      <c r="AI63" s="0" t="n">
        <f aca="false">$B63/AI$1</f>
        <v>0.000307692307692308</v>
      </c>
      <c r="AJ63" s="0" t="n">
        <f aca="false">$B63/AJ$1</f>
        <v>0.000298507462686567</v>
      </c>
      <c r="AK63" s="0" t="n">
        <f aca="false">$B63/AK$1</f>
        <v>0.000289855072463768</v>
      </c>
      <c r="AL63" s="0" t="n">
        <f aca="false">$B63/AL$1</f>
        <v>0.00028169014084507</v>
      </c>
      <c r="AM63" s="0" t="n">
        <f aca="false">$B63/AM$1</f>
        <v>0.000273972602739726</v>
      </c>
      <c r="AN63" s="0" t="n">
        <f aca="false">$B63/AN$1</f>
        <v>0.000266666666666667</v>
      </c>
      <c r="AO63" s="0" t="n">
        <f aca="false">$B63/AO$1</f>
        <v>0.00025974025974026</v>
      </c>
      <c r="AP63" s="0" t="n">
        <f aca="false">$B63/AP$1</f>
        <v>0.000253164556962025</v>
      </c>
      <c r="AQ63" s="0" t="n">
        <f aca="false">$B63/AQ$1</f>
        <v>0.000246913580246914</v>
      </c>
      <c r="AR63" s="0" t="n">
        <f aca="false">$B63/AR$1</f>
        <v>0.000240963855421687</v>
      </c>
      <c r="AS63" s="0" t="n">
        <f aca="false">$B63/AS$1</f>
        <v>0.000235294117647059</v>
      </c>
      <c r="AT63" s="0" t="n">
        <f aca="false">$B63/AT$1</f>
        <v>0.000229885057471264</v>
      </c>
      <c r="AU63" s="0" t="n">
        <f aca="false">$B63/AU$1</f>
        <v>0.000224719101123596</v>
      </c>
      <c r="AV63" s="0" t="n">
        <f aca="false">$B63/AV$1</f>
        <v>0.00021978021978022</v>
      </c>
      <c r="AW63" s="0" t="n">
        <f aca="false">$B63/AW$1</f>
        <v>0.00021505376344086</v>
      </c>
      <c r="AX63" s="0" t="n">
        <f aca="false">$B63/AX$1</f>
        <v>0.000210526315789474</v>
      </c>
      <c r="AY63" s="0" t="n">
        <f aca="false">$B63/AY$1</f>
        <v>0.000206185567010309</v>
      </c>
      <c r="AZ63" s="0" t="n">
        <f aca="false">$B63/AZ$1</f>
        <v>0.000202020202020202</v>
      </c>
      <c r="BA63" s="0" t="n">
        <f aca="false">$B63/BA$1</f>
        <v>0.000198019801980198</v>
      </c>
      <c r="BB63" s="0" t="n">
        <f aca="false">$B63/BB$1</f>
        <v>0.000194174757281553</v>
      </c>
      <c r="BC63" s="0" t="n">
        <f aca="false">$B63/BC$1</f>
        <v>0.00019047619047619</v>
      </c>
      <c r="BD63" s="0" t="n">
        <f aca="false">$B63/BD$1</f>
        <v>0.000186915887850467</v>
      </c>
      <c r="BE63" s="0" t="n">
        <f aca="false">$B63/BE$1</f>
        <v>0.00018348623853211</v>
      </c>
      <c r="BF63" s="0" t="n">
        <f aca="false">$B63/BF$1</f>
        <v>0.00018018018018018</v>
      </c>
      <c r="BG63" s="0" t="n">
        <f aca="false">$B63/BG$1</f>
        <v>0.000176991150442478</v>
      </c>
      <c r="BH63" s="0" t="n">
        <f aca="false">$B63/BH$1</f>
        <v>0.000173913043478261</v>
      </c>
      <c r="BI63" s="0" t="n">
        <f aca="false">$B63/BI$1</f>
        <v>0.000170940170940171</v>
      </c>
      <c r="BJ63" s="0" t="n">
        <f aca="false">$B63/BJ$1</f>
        <v>0.000168067226890756</v>
      </c>
      <c r="BL63" s="0" t="n">
        <f aca="false">IF($B$57=1,COUNTIF(C63:BJ63,"&gt;="&amp;$C$57),0)</f>
        <v>2</v>
      </c>
      <c r="BM63" s="0" t="n">
        <f aca="false">IF($B$57=1,IF(OR(BS63&gt;=Settings!$B$5,Settings!$C$19&gt;0),MAX(BL63,Settings!$C$19),0),0)</f>
        <v>4</v>
      </c>
      <c r="BN63" s="0" t="n">
        <f aca="false">IF($B$57=1,IF(OR(BS63&gt;=Settings!$B$5,Settings!$C$19&gt;0),MAX(0,(2*MAX(BL63,Settings!$C$19)+1)*$C$57-BS63),MAX(0,Settings!$B$5-BS63)),"")</f>
        <v>0.0173846153846154</v>
      </c>
      <c r="BO63" s="0" t="str">
        <f aca="false">IF($B$57=1,IF(OR(BS63&gt;=Settings!$B$5,Settings!$C$19&gt;0),IF(BL63&lt;=Settings!$C$19,"Protected by electorates",IF(Settings!$C$19=0,MIN(BS63-(2*BL63-1)*$D$57,BS63-Settings!$B$5),BS63-(2*BL63-1)*$D$57)),""),"")</f>
        <v>Protected by electorates</v>
      </c>
      <c r="BP63" s="0" t="n">
        <f aca="false">IF($B$57=1,IF(OR(BS63&gt;=Settings!$B$5,Settings!$C$19&gt;0),MAX(0,MIN(1,(BS63/$C$57-(2*MAX(BL63,Settings!$C$19)-1))/2)),MIN(1,BS63/Settings!$B$5)),"")</f>
        <v>0</v>
      </c>
      <c r="BQ63" s="0" t="n">
        <f aca="false">IF(AND($B$57=1,COUNTIF(C63:BJ63,$C$57)&gt;0),1,0)</f>
        <v>0</v>
      </c>
      <c r="BR63" s="0" t="n">
        <f aca="false">IF(AND($B$57=1,COUNTIF(C63:BJ63,$D$57)&gt;0),1,0)</f>
        <v>0</v>
      </c>
      <c r="BS63" s="0" t="n">
        <f aca="false">N(IF(Polls!M12="",Polls!M37,Polls!M12))</f>
        <v>0.02</v>
      </c>
      <c r="BT63" s="0" t="str">
        <f aca="false">IF(OR(BS63&gt;=Settings!$B$5,Settings!$C$19&gt;0),"Next seat","Threshold")</f>
        <v>Next seat</v>
      </c>
    </row>
    <row r="64" customFormat="false" ht="15" hidden="false" customHeight="false" outlineLevel="0" collapsed="false">
      <c r="A64" s="0" t="s">
        <v>52</v>
      </c>
      <c r="B64" s="0" t="n">
        <f aca="false">IF(OR(BS64&gt;=Settings!$B$5,Settings!$C$20&gt;0),BS64,0)</f>
        <v>0.06</v>
      </c>
      <c r="C64" s="0" t="n">
        <f aca="false">$B64/C$1</f>
        <v>0.06</v>
      </c>
      <c r="D64" s="0" t="n">
        <f aca="false">$B64/D$1</f>
        <v>0.02</v>
      </c>
      <c r="E64" s="0" t="n">
        <f aca="false">$B64/E$1</f>
        <v>0.012</v>
      </c>
      <c r="F64" s="0" t="n">
        <f aca="false">$B64/F$1</f>
        <v>0.00857142857142857</v>
      </c>
      <c r="G64" s="0" t="n">
        <f aca="false">$B64/G$1</f>
        <v>0.00666666666666667</v>
      </c>
      <c r="H64" s="0" t="n">
        <f aca="false">$B64/H$1</f>
        <v>0.00545454545454545</v>
      </c>
      <c r="I64" s="0" t="n">
        <f aca="false">$B64/I$1</f>
        <v>0.00461538461538462</v>
      </c>
      <c r="J64" s="0" t="n">
        <f aca="false">$B64/J$1</f>
        <v>0.004</v>
      </c>
      <c r="K64" s="0" t="n">
        <f aca="false">$B64/K$1</f>
        <v>0.00352941176470588</v>
      </c>
      <c r="L64" s="0" t="n">
        <f aca="false">$B64/L$1</f>
        <v>0.00315789473684211</v>
      </c>
      <c r="M64" s="0" t="n">
        <f aca="false">$B64/M$1</f>
        <v>0.00285714285714286</v>
      </c>
      <c r="N64" s="0" t="n">
        <f aca="false">$B64/N$1</f>
        <v>0.00260869565217391</v>
      </c>
      <c r="O64" s="0" t="n">
        <f aca="false">$B64/O$1</f>
        <v>0.0024</v>
      </c>
      <c r="P64" s="0" t="n">
        <f aca="false">$B64/P$1</f>
        <v>0.00222222222222222</v>
      </c>
      <c r="Q64" s="0" t="n">
        <f aca="false">$B64/Q$1</f>
        <v>0.00206896551724138</v>
      </c>
      <c r="R64" s="0" t="n">
        <f aca="false">$B64/R$1</f>
        <v>0.00193548387096774</v>
      </c>
      <c r="S64" s="0" t="n">
        <f aca="false">$B64/S$1</f>
        <v>0.00181818181818182</v>
      </c>
      <c r="T64" s="0" t="n">
        <f aca="false">$B64/T$1</f>
        <v>0.00171428571428571</v>
      </c>
      <c r="U64" s="0" t="n">
        <f aca="false">$B64/U$1</f>
        <v>0.00162162162162162</v>
      </c>
      <c r="V64" s="0" t="n">
        <f aca="false">$B64/V$1</f>
        <v>0.00153846153846154</v>
      </c>
      <c r="W64" s="0" t="n">
        <f aca="false">$B64/W$1</f>
        <v>0.00146341463414634</v>
      </c>
      <c r="X64" s="0" t="n">
        <f aca="false">$B64/X$1</f>
        <v>0.0013953488372093</v>
      </c>
      <c r="Y64" s="0" t="n">
        <f aca="false">$B64/Y$1</f>
        <v>0.00133333333333333</v>
      </c>
      <c r="Z64" s="0" t="n">
        <f aca="false">$B64/Z$1</f>
        <v>0.00127659574468085</v>
      </c>
      <c r="AA64" s="0" t="n">
        <f aca="false">$B64/AA$1</f>
        <v>0.00122448979591837</v>
      </c>
      <c r="AB64" s="0" t="n">
        <f aca="false">$B64/AB$1</f>
        <v>0.00117647058823529</v>
      </c>
      <c r="AC64" s="0" t="n">
        <f aca="false">$B64/AC$1</f>
        <v>0.00113207547169811</v>
      </c>
      <c r="AD64" s="0" t="n">
        <f aca="false">$B64/AD$1</f>
        <v>0.00109090909090909</v>
      </c>
      <c r="AE64" s="0" t="n">
        <f aca="false">$B64/AE$1</f>
        <v>0.00105263157894737</v>
      </c>
      <c r="AF64" s="0" t="n">
        <f aca="false">$B64/AF$1</f>
        <v>0.00101694915254237</v>
      </c>
      <c r="AG64" s="0" t="n">
        <f aca="false">$B64/AG$1</f>
        <v>0.000983606557377049</v>
      </c>
      <c r="AH64" s="0" t="n">
        <f aca="false">$B64/AH$1</f>
        <v>0.000952380952380952</v>
      </c>
      <c r="AI64" s="0" t="n">
        <f aca="false">$B64/AI$1</f>
        <v>0.000923076923076923</v>
      </c>
      <c r="AJ64" s="0" t="n">
        <f aca="false">$B64/AJ$1</f>
        <v>0.000895522388059702</v>
      </c>
      <c r="AK64" s="0" t="n">
        <f aca="false">$B64/AK$1</f>
        <v>0.000869565217391304</v>
      </c>
      <c r="AL64" s="0" t="n">
        <f aca="false">$B64/AL$1</f>
        <v>0.000845070422535211</v>
      </c>
      <c r="AM64" s="0" t="n">
        <f aca="false">$B64/AM$1</f>
        <v>0.000821917808219178</v>
      </c>
      <c r="AN64" s="0" t="n">
        <f aca="false">$B64/AN$1</f>
        <v>0.0008</v>
      </c>
      <c r="AO64" s="0" t="n">
        <f aca="false">$B64/AO$1</f>
        <v>0.000779220779220779</v>
      </c>
      <c r="AP64" s="0" t="n">
        <f aca="false">$B64/AP$1</f>
        <v>0.000759493670886076</v>
      </c>
      <c r="AQ64" s="0" t="n">
        <f aca="false">$B64/AQ$1</f>
        <v>0.000740740740740741</v>
      </c>
      <c r="AR64" s="0" t="n">
        <f aca="false">$B64/AR$1</f>
        <v>0.00072289156626506</v>
      </c>
      <c r="AS64" s="0" t="n">
        <f aca="false">$B64/AS$1</f>
        <v>0.000705882352941176</v>
      </c>
      <c r="AT64" s="0" t="n">
        <f aca="false">$B64/AT$1</f>
        <v>0.000689655172413793</v>
      </c>
      <c r="AU64" s="0" t="n">
        <f aca="false">$B64/AU$1</f>
        <v>0.000674157303370787</v>
      </c>
      <c r="AV64" s="0" t="n">
        <f aca="false">$B64/AV$1</f>
        <v>0.000659340659340659</v>
      </c>
      <c r="AW64" s="0" t="n">
        <f aca="false">$B64/AW$1</f>
        <v>0.000645161290322581</v>
      </c>
      <c r="AX64" s="0" t="n">
        <f aca="false">$B64/AX$1</f>
        <v>0.000631578947368421</v>
      </c>
      <c r="AY64" s="0" t="n">
        <f aca="false">$B64/AY$1</f>
        <v>0.000618556701030928</v>
      </c>
      <c r="AZ64" s="0" t="n">
        <f aca="false">$B64/AZ$1</f>
        <v>0.000606060606060606</v>
      </c>
      <c r="BA64" s="0" t="n">
        <f aca="false">$B64/BA$1</f>
        <v>0.000594059405940594</v>
      </c>
      <c r="BB64" s="0" t="n">
        <f aca="false">$B64/BB$1</f>
        <v>0.00058252427184466</v>
      </c>
      <c r="BC64" s="0" t="n">
        <f aca="false">$B64/BC$1</f>
        <v>0.000571428571428571</v>
      </c>
      <c r="BD64" s="0" t="n">
        <f aca="false">$B64/BD$1</f>
        <v>0.000560747663551402</v>
      </c>
      <c r="BE64" s="0" t="n">
        <f aca="false">$B64/BE$1</f>
        <v>0.00055045871559633</v>
      </c>
      <c r="BF64" s="0" t="n">
        <f aca="false">$B64/BF$1</f>
        <v>0.000540540540540541</v>
      </c>
      <c r="BG64" s="0" t="n">
        <f aca="false">$B64/BG$1</f>
        <v>0.000530973451327434</v>
      </c>
      <c r="BH64" s="0" t="n">
        <f aca="false">$B64/BH$1</f>
        <v>0.000521739130434783</v>
      </c>
      <c r="BI64" s="0" t="n">
        <f aca="false">$B64/BI$1</f>
        <v>0.000512820512820513</v>
      </c>
      <c r="BJ64" s="0" t="n">
        <f aca="false">$B64/BJ$1</f>
        <v>0.000504201680672269</v>
      </c>
      <c r="BL64" s="0" t="n">
        <f aca="false">IF($B$57=1,COUNTIF(C64:BJ64,"&gt;="&amp;$C$57),0)</f>
        <v>7</v>
      </c>
      <c r="BM64" s="0" t="n">
        <f aca="false">IF($B$57=1,IF(OR(BS64&gt;=Settings!$B$5,Settings!$C$20&gt;0),MAX(BL64,Settings!$C$20),0),0)</f>
        <v>7</v>
      </c>
      <c r="BN64" s="0" t="n">
        <f aca="false">IF($B$57=1,IF(OR(BS64&gt;=Settings!$B$5,Settings!$C$20&gt;0),MAX(0,(2*MAX(BL64,Settings!$C$20)+1)*$C$57-BS64),MAX(0,Settings!$B$5-BS64)),"")</f>
        <v>0.00230769230769231</v>
      </c>
      <c r="BO64" s="0" t="n">
        <f aca="false">IF($B$57=1,IF(OR(BS64&gt;=Settings!$B$5,Settings!$C$20&gt;0),IF(BL64&lt;=Settings!$C$20,"Protected by electorates",IF(Settings!$C$20=0,MIN(BS64-(2*BL64-1)*$D$57,BS64-Settings!$B$5),BS64-(2*BL64-1)*$D$57)),""),"")</f>
        <v>0.0072463768115942</v>
      </c>
      <c r="BP64" s="0" t="n">
        <f aca="false">IF($B$57=1,IF(OR(BS64&gt;=Settings!$B$5,Settings!$C$20&gt;0),MAX(0,MIN(1,(BS64/$C$57-(2*MAX(BL64,Settings!$C$20)-1))/2)),MIN(1,BS64/Settings!$B$5)),"")</f>
        <v>0.722222222222222</v>
      </c>
      <c r="BQ64" s="0" t="n">
        <f aca="false">IF(AND($B$57=1,COUNTIF(C64:BJ64,$C$57)&gt;0),1,0)</f>
        <v>0</v>
      </c>
      <c r="BR64" s="0" t="n">
        <f aca="false">IF(AND($B$57=1,COUNTIF(C64:BJ64,$D$57)&gt;0),1,0)</f>
        <v>0</v>
      </c>
      <c r="BS64" s="0" t="n">
        <f aca="false">N(IF(Polls!N12="",Polls!N37,Polls!N12))</f>
        <v>0.06</v>
      </c>
      <c r="BT64" s="0" t="str">
        <f aca="false">IF(OR(BS64&gt;=Settings!$B$5,Settings!$C$20&gt;0),"Next seat","Threshold")</f>
        <v>Next seat</v>
      </c>
    </row>
    <row r="66" customFormat="false" ht="15" hidden="false" customHeight="false" outlineLevel="0" collapsed="false">
      <c r="A66" s="41" t="str">
        <f aca="false">Polls!A13</f>
        <v>Anacta Sep</v>
      </c>
      <c r="B66" s="17" t="n">
        <f aca="false">IF(SUM(BS67:BS73)&gt;0,1,0)</f>
        <v>1</v>
      </c>
      <c r="C66" s="17" t="n">
        <f aca="false">IF(B66=1,LARGE(C67:BJ73,Settings!$B$4),0)</f>
        <v>0.00413793103448276</v>
      </c>
      <c r="D66" s="17" t="n">
        <f aca="false">IF(B66=1,LARGE(C67:BJ73,Settings!$B$4+1),0)</f>
        <v>0.00413333333333333</v>
      </c>
      <c r="E66" s="0" t="str">
        <f aca="false">IF(B66=1,IFERROR(INDEX(A67:A73,MATCH(1,BQ67:BQ73,0)),""),"")</f>
        <v>GRN</v>
      </c>
      <c r="F66" s="0" t="str">
        <f aca="false">IF(B66=1,IFERROR(INDEX(A67:A73,MATCH(1,BR67:BR73,0)),""),"")</f>
        <v>LAB</v>
      </c>
      <c r="G66" s="17" t="n">
        <f aca="false">IF(B66=1,SUM(BM67:BM73)+Settings!$B$10,"")</f>
        <v>122</v>
      </c>
    </row>
    <row r="67" customFormat="false" ht="15" hidden="false" customHeight="false" outlineLevel="0" collapsed="false">
      <c r="A67" s="0" t="s">
        <v>41</v>
      </c>
      <c r="B67" s="0" t="n">
        <f aca="false">IF(OR(BS67&gt;=Settings!$B$5,Settings!$C$14&gt;0),BS67,0)</f>
        <v>0.3</v>
      </c>
      <c r="C67" s="0" t="n">
        <f aca="false">$B67/C$1</f>
        <v>0.3</v>
      </c>
      <c r="D67" s="0" t="n">
        <f aca="false">$B67/D$1</f>
        <v>0.1</v>
      </c>
      <c r="E67" s="0" t="n">
        <f aca="false">$B67/E$1</f>
        <v>0.06</v>
      </c>
      <c r="F67" s="0" t="n">
        <f aca="false">$B67/F$1</f>
        <v>0.0428571428571429</v>
      </c>
      <c r="G67" s="0" t="n">
        <f aca="false">$B67/G$1</f>
        <v>0.0333333333333333</v>
      </c>
      <c r="H67" s="0" t="n">
        <f aca="false">$B67/H$1</f>
        <v>0.0272727272727273</v>
      </c>
      <c r="I67" s="0" t="n">
        <f aca="false">$B67/I$1</f>
        <v>0.0230769230769231</v>
      </c>
      <c r="J67" s="0" t="n">
        <f aca="false">$B67/J$1</f>
        <v>0.02</v>
      </c>
      <c r="K67" s="0" t="n">
        <f aca="false">$B67/K$1</f>
        <v>0.0176470588235294</v>
      </c>
      <c r="L67" s="0" t="n">
        <f aca="false">$B67/L$1</f>
        <v>0.0157894736842105</v>
      </c>
      <c r="M67" s="0" t="n">
        <f aca="false">$B67/M$1</f>
        <v>0.0142857142857143</v>
      </c>
      <c r="N67" s="0" t="n">
        <f aca="false">$B67/N$1</f>
        <v>0.0130434782608696</v>
      </c>
      <c r="O67" s="0" t="n">
        <f aca="false">$B67/O$1</f>
        <v>0.012</v>
      </c>
      <c r="P67" s="0" t="n">
        <f aca="false">$B67/P$1</f>
        <v>0.0111111111111111</v>
      </c>
      <c r="Q67" s="0" t="n">
        <f aca="false">$B67/Q$1</f>
        <v>0.0103448275862069</v>
      </c>
      <c r="R67" s="0" t="n">
        <f aca="false">$B67/R$1</f>
        <v>0.00967741935483871</v>
      </c>
      <c r="S67" s="0" t="n">
        <f aca="false">$B67/S$1</f>
        <v>0.00909090909090909</v>
      </c>
      <c r="T67" s="0" t="n">
        <f aca="false">$B67/T$1</f>
        <v>0.00857142857142857</v>
      </c>
      <c r="U67" s="0" t="n">
        <f aca="false">$B67/U$1</f>
        <v>0.00810810810810811</v>
      </c>
      <c r="V67" s="0" t="n">
        <f aca="false">$B67/V$1</f>
        <v>0.00769230769230769</v>
      </c>
      <c r="W67" s="0" t="n">
        <f aca="false">$B67/W$1</f>
        <v>0.00731707317073171</v>
      </c>
      <c r="X67" s="0" t="n">
        <f aca="false">$B67/X$1</f>
        <v>0.00697674418604651</v>
      </c>
      <c r="Y67" s="0" t="n">
        <f aca="false">$B67/Y$1</f>
        <v>0.00666666666666667</v>
      </c>
      <c r="Z67" s="0" t="n">
        <f aca="false">$B67/Z$1</f>
        <v>0.00638297872340426</v>
      </c>
      <c r="AA67" s="0" t="n">
        <f aca="false">$B67/AA$1</f>
        <v>0.00612244897959184</v>
      </c>
      <c r="AB67" s="0" t="n">
        <f aca="false">$B67/AB$1</f>
        <v>0.00588235294117647</v>
      </c>
      <c r="AC67" s="0" t="n">
        <f aca="false">$B67/AC$1</f>
        <v>0.00566037735849057</v>
      </c>
      <c r="AD67" s="0" t="n">
        <f aca="false">$B67/AD$1</f>
        <v>0.00545454545454545</v>
      </c>
      <c r="AE67" s="0" t="n">
        <f aca="false">$B67/AE$1</f>
        <v>0.00526315789473684</v>
      </c>
      <c r="AF67" s="0" t="n">
        <f aca="false">$B67/AF$1</f>
        <v>0.00508474576271186</v>
      </c>
      <c r="AG67" s="0" t="n">
        <f aca="false">$B67/AG$1</f>
        <v>0.00491803278688525</v>
      </c>
      <c r="AH67" s="0" t="n">
        <f aca="false">$B67/AH$1</f>
        <v>0.00476190476190476</v>
      </c>
      <c r="AI67" s="0" t="n">
        <f aca="false">$B67/AI$1</f>
        <v>0.00461538461538462</v>
      </c>
      <c r="AJ67" s="0" t="n">
        <f aca="false">$B67/AJ$1</f>
        <v>0.00447761194029851</v>
      </c>
      <c r="AK67" s="0" t="n">
        <f aca="false">$B67/AK$1</f>
        <v>0.00434782608695652</v>
      </c>
      <c r="AL67" s="0" t="n">
        <f aca="false">$B67/AL$1</f>
        <v>0.00422535211267606</v>
      </c>
      <c r="AM67" s="0" t="n">
        <f aca="false">$B67/AM$1</f>
        <v>0.00410958904109589</v>
      </c>
      <c r="AN67" s="0" t="n">
        <f aca="false">$B67/AN$1</f>
        <v>0.004</v>
      </c>
      <c r="AO67" s="0" t="n">
        <f aca="false">$B67/AO$1</f>
        <v>0.0038961038961039</v>
      </c>
      <c r="AP67" s="0" t="n">
        <f aca="false">$B67/AP$1</f>
        <v>0.00379746835443038</v>
      </c>
      <c r="AQ67" s="0" t="n">
        <f aca="false">$B67/AQ$1</f>
        <v>0.0037037037037037</v>
      </c>
      <c r="AR67" s="0" t="n">
        <f aca="false">$B67/AR$1</f>
        <v>0.0036144578313253</v>
      </c>
      <c r="AS67" s="0" t="n">
        <f aca="false">$B67/AS$1</f>
        <v>0.00352941176470588</v>
      </c>
      <c r="AT67" s="0" t="n">
        <f aca="false">$B67/AT$1</f>
        <v>0.00344827586206897</v>
      </c>
      <c r="AU67" s="0" t="n">
        <f aca="false">$B67/AU$1</f>
        <v>0.00337078651685393</v>
      </c>
      <c r="AV67" s="0" t="n">
        <f aca="false">$B67/AV$1</f>
        <v>0.0032967032967033</v>
      </c>
      <c r="AW67" s="0" t="n">
        <f aca="false">$B67/AW$1</f>
        <v>0.0032258064516129</v>
      </c>
      <c r="AX67" s="0" t="n">
        <f aca="false">$B67/AX$1</f>
        <v>0.00315789473684211</v>
      </c>
      <c r="AY67" s="0" t="n">
        <f aca="false">$B67/AY$1</f>
        <v>0.00309278350515464</v>
      </c>
      <c r="AZ67" s="0" t="n">
        <f aca="false">$B67/AZ$1</f>
        <v>0.00303030303030303</v>
      </c>
      <c r="BA67" s="0" t="n">
        <f aca="false">$B67/BA$1</f>
        <v>0.00297029702970297</v>
      </c>
      <c r="BB67" s="0" t="n">
        <f aca="false">$B67/BB$1</f>
        <v>0.0029126213592233</v>
      </c>
      <c r="BC67" s="0" t="n">
        <f aca="false">$B67/BC$1</f>
        <v>0.00285714285714286</v>
      </c>
      <c r="BD67" s="0" t="n">
        <f aca="false">$B67/BD$1</f>
        <v>0.00280373831775701</v>
      </c>
      <c r="BE67" s="0" t="n">
        <f aca="false">$B67/BE$1</f>
        <v>0.00275229357798165</v>
      </c>
      <c r="BF67" s="0" t="n">
        <f aca="false">$B67/BF$1</f>
        <v>0.0027027027027027</v>
      </c>
      <c r="BG67" s="0" t="n">
        <f aca="false">$B67/BG$1</f>
        <v>0.00265486725663717</v>
      </c>
      <c r="BH67" s="0" t="n">
        <f aca="false">$B67/BH$1</f>
        <v>0.00260869565217391</v>
      </c>
      <c r="BI67" s="0" t="n">
        <f aca="false">$B67/BI$1</f>
        <v>0.00256410256410256</v>
      </c>
      <c r="BJ67" s="0" t="n">
        <f aca="false">$B67/BJ$1</f>
        <v>0.00252100840336134</v>
      </c>
      <c r="BL67" s="0" t="n">
        <f aca="false">IF($B$66=1,COUNTIF(C67:BJ67,"&gt;="&amp;$C$66),0)</f>
        <v>36</v>
      </c>
      <c r="BM67" s="0" t="n">
        <f aca="false">IF($B$66=1,IF(OR(BS67&gt;=Settings!$B$5,Settings!$C$14&gt;0),MAX(BL67,Settings!$C$14),0),0)</f>
        <v>36</v>
      </c>
      <c r="BN67" s="0" t="n">
        <f aca="false">IF($B$66=1,IF(OR(BS67&gt;=Settings!$B$5,Settings!$C$14&gt;0),MAX(0,(2*MAX(BL67,Settings!$C$14)+1)*$C$66-BS67),MAX(0,Settings!$B$5-BS67)),"")</f>
        <v>0.00206896551724139</v>
      </c>
      <c r="BO67" s="0" t="n">
        <f aca="false">IF($B$66=1,IF(OR(BS67&gt;=Settings!$B$5,Settings!$C$14&gt;0),IF(BL67&lt;=Settings!$C$14,"Protected by electorates",IF(Settings!$C$14=0,MIN(BS67-(2*BL67-1)*$D$66,BS67-Settings!$B$5),BS67-(2*BL67-1)*$D$66)),""),"")</f>
        <v>0.00653333333333334</v>
      </c>
      <c r="BP67" s="0" t="n">
        <f aca="false">IF($B$66=1,IF(OR(BS67&gt;=Settings!$B$5,Settings!$C$14&gt;0),MAX(0,MIN(1,(BS67/$C$66-(2*MAX(BL67,Settings!$C$14)-1))/2)),MIN(1,BS67/Settings!$B$5)),"")</f>
        <v>0.75</v>
      </c>
      <c r="BQ67" s="0" t="n">
        <f aca="false">IF(AND($B$66=1,COUNTIF(C67:BJ67,$C$66)&gt;0),1,0)</f>
        <v>0</v>
      </c>
      <c r="BR67" s="0" t="n">
        <f aca="false">IF(AND($B$66=1,COUNTIF(C67:BJ67,$D$66)&gt;0),1,0)</f>
        <v>0</v>
      </c>
      <c r="BS67" s="0" t="n">
        <f aca="false">N(IF(Polls!H13="",Polls!H37,Polls!H13))</f>
        <v>0.3</v>
      </c>
      <c r="BT67" s="0" t="str">
        <f aca="false">IF(OR(BS67&gt;=Settings!$B$5,Settings!$C$14&gt;0),"Next seat","Threshold")</f>
        <v>Next seat</v>
      </c>
    </row>
    <row r="68" customFormat="false" ht="15" hidden="false" customHeight="false" outlineLevel="0" collapsed="false">
      <c r="A68" s="0" t="s">
        <v>43</v>
      </c>
      <c r="B68" s="0" t="n">
        <f aca="false">IF(OR(BS68&gt;=Settings!$B$5,Settings!$C$15&gt;0),BS68,0)</f>
        <v>0.31</v>
      </c>
      <c r="C68" s="0" t="n">
        <f aca="false">$B68/C$1</f>
        <v>0.31</v>
      </c>
      <c r="D68" s="0" t="n">
        <f aca="false">$B68/D$1</f>
        <v>0.103333333333333</v>
      </c>
      <c r="E68" s="0" t="n">
        <f aca="false">$B68/E$1</f>
        <v>0.062</v>
      </c>
      <c r="F68" s="0" t="n">
        <f aca="false">$B68/F$1</f>
        <v>0.0442857142857143</v>
      </c>
      <c r="G68" s="0" t="n">
        <f aca="false">$B68/G$1</f>
        <v>0.0344444444444444</v>
      </c>
      <c r="H68" s="0" t="n">
        <f aca="false">$B68/H$1</f>
        <v>0.0281818181818182</v>
      </c>
      <c r="I68" s="0" t="n">
        <f aca="false">$B68/I$1</f>
        <v>0.0238461538461538</v>
      </c>
      <c r="J68" s="0" t="n">
        <f aca="false">$B68/J$1</f>
        <v>0.0206666666666667</v>
      </c>
      <c r="K68" s="0" t="n">
        <f aca="false">$B68/K$1</f>
        <v>0.0182352941176471</v>
      </c>
      <c r="L68" s="0" t="n">
        <f aca="false">$B68/L$1</f>
        <v>0.0163157894736842</v>
      </c>
      <c r="M68" s="0" t="n">
        <f aca="false">$B68/M$1</f>
        <v>0.0147619047619048</v>
      </c>
      <c r="N68" s="0" t="n">
        <f aca="false">$B68/N$1</f>
        <v>0.0134782608695652</v>
      </c>
      <c r="O68" s="0" t="n">
        <f aca="false">$B68/O$1</f>
        <v>0.0124</v>
      </c>
      <c r="P68" s="0" t="n">
        <f aca="false">$B68/P$1</f>
        <v>0.0114814814814815</v>
      </c>
      <c r="Q68" s="0" t="n">
        <f aca="false">$B68/Q$1</f>
        <v>0.0106896551724138</v>
      </c>
      <c r="R68" s="0" t="n">
        <f aca="false">$B68/R$1</f>
        <v>0.01</v>
      </c>
      <c r="S68" s="0" t="n">
        <f aca="false">$B68/S$1</f>
        <v>0.00939393939393939</v>
      </c>
      <c r="T68" s="0" t="n">
        <f aca="false">$B68/T$1</f>
        <v>0.00885714285714286</v>
      </c>
      <c r="U68" s="0" t="n">
        <f aca="false">$B68/U$1</f>
        <v>0.00837837837837838</v>
      </c>
      <c r="V68" s="0" t="n">
        <f aca="false">$B68/V$1</f>
        <v>0.00794871794871795</v>
      </c>
      <c r="W68" s="0" t="n">
        <f aca="false">$B68/W$1</f>
        <v>0.0075609756097561</v>
      </c>
      <c r="X68" s="0" t="n">
        <f aca="false">$B68/X$1</f>
        <v>0.0072093023255814</v>
      </c>
      <c r="Y68" s="0" t="n">
        <f aca="false">$B68/Y$1</f>
        <v>0.00688888888888889</v>
      </c>
      <c r="Z68" s="0" t="n">
        <f aca="false">$B68/Z$1</f>
        <v>0.00659574468085106</v>
      </c>
      <c r="AA68" s="0" t="n">
        <f aca="false">$B68/AA$1</f>
        <v>0.0063265306122449</v>
      </c>
      <c r="AB68" s="0" t="n">
        <f aca="false">$B68/AB$1</f>
        <v>0.00607843137254902</v>
      </c>
      <c r="AC68" s="0" t="n">
        <f aca="false">$B68/AC$1</f>
        <v>0.00584905660377359</v>
      </c>
      <c r="AD68" s="0" t="n">
        <f aca="false">$B68/AD$1</f>
        <v>0.00563636363636364</v>
      </c>
      <c r="AE68" s="0" t="n">
        <f aca="false">$B68/AE$1</f>
        <v>0.00543859649122807</v>
      </c>
      <c r="AF68" s="0" t="n">
        <f aca="false">$B68/AF$1</f>
        <v>0.00525423728813559</v>
      </c>
      <c r="AG68" s="0" t="n">
        <f aca="false">$B68/AG$1</f>
        <v>0.00508196721311475</v>
      </c>
      <c r="AH68" s="0" t="n">
        <f aca="false">$B68/AH$1</f>
        <v>0.00492063492063492</v>
      </c>
      <c r="AI68" s="0" t="n">
        <f aca="false">$B68/AI$1</f>
        <v>0.00476923076923077</v>
      </c>
      <c r="AJ68" s="0" t="n">
        <f aca="false">$B68/AJ$1</f>
        <v>0.00462686567164179</v>
      </c>
      <c r="AK68" s="0" t="n">
        <f aca="false">$B68/AK$1</f>
        <v>0.00449275362318841</v>
      </c>
      <c r="AL68" s="0" t="n">
        <f aca="false">$B68/AL$1</f>
        <v>0.00436619718309859</v>
      </c>
      <c r="AM68" s="0" t="n">
        <f aca="false">$B68/AM$1</f>
        <v>0.00424657534246575</v>
      </c>
      <c r="AN68" s="0" t="n">
        <f aca="false">$B68/AN$1</f>
        <v>0.00413333333333333</v>
      </c>
      <c r="AO68" s="0" t="n">
        <f aca="false">$B68/AO$1</f>
        <v>0.00402597402597403</v>
      </c>
      <c r="AP68" s="0" t="n">
        <f aca="false">$B68/AP$1</f>
        <v>0.00392405063291139</v>
      </c>
      <c r="AQ68" s="0" t="n">
        <f aca="false">$B68/AQ$1</f>
        <v>0.00382716049382716</v>
      </c>
      <c r="AR68" s="0" t="n">
        <f aca="false">$B68/AR$1</f>
        <v>0.00373493975903614</v>
      </c>
      <c r="AS68" s="0" t="n">
        <f aca="false">$B68/AS$1</f>
        <v>0.00364705882352941</v>
      </c>
      <c r="AT68" s="0" t="n">
        <f aca="false">$B68/AT$1</f>
        <v>0.0035632183908046</v>
      </c>
      <c r="AU68" s="0" t="n">
        <f aca="false">$B68/AU$1</f>
        <v>0.00348314606741573</v>
      </c>
      <c r="AV68" s="0" t="n">
        <f aca="false">$B68/AV$1</f>
        <v>0.00340659340659341</v>
      </c>
      <c r="AW68" s="0" t="n">
        <f aca="false">$B68/AW$1</f>
        <v>0.00333333333333333</v>
      </c>
      <c r="AX68" s="0" t="n">
        <f aca="false">$B68/AX$1</f>
        <v>0.00326315789473684</v>
      </c>
      <c r="AY68" s="0" t="n">
        <f aca="false">$B68/AY$1</f>
        <v>0.00319587628865979</v>
      </c>
      <c r="AZ68" s="0" t="n">
        <f aca="false">$B68/AZ$1</f>
        <v>0.00313131313131313</v>
      </c>
      <c r="BA68" s="0" t="n">
        <f aca="false">$B68/BA$1</f>
        <v>0.00306930693069307</v>
      </c>
      <c r="BB68" s="0" t="n">
        <f aca="false">$B68/BB$1</f>
        <v>0.00300970873786408</v>
      </c>
      <c r="BC68" s="0" t="n">
        <f aca="false">$B68/BC$1</f>
        <v>0.00295238095238095</v>
      </c>
      <c r="BD68" s="0" t="n">
        <f aca="false">$B68/BD$1</f>
        <v>0.00289719626168224</v>
      </c>
      <c r="BE68" s="0" t="n">
        <f aca="false">$B68/BE$1</f>
        <v>0.00284403669724771</v>
      </c>
      <c r="BF68" s="0" t="n">
        <f aca="false">$B68/BF$1</f>
        <v>0.00279279279279279</v>
      </c>
      <c r="BG68" s="0" t="n">
        <f aca="false">$B68/BG$1</f>
        <v>0.00274336283185841</v>
      </c>
      <c r="BH68" s="0" t="n">
        <f aca="false">$B68/BH$1</f>
        <v>0.00269565217391304</v>
      </c>
      <c r="BI68" s="0" t="n">
        <f aca="false">$B68/BI$1</f>
        <v>0.00264957264957265</v>
      </c>
      <c r="BJ68" s="0" t="n">
        <f aca="false">$B68/BJ$1</f>
        <v>0.00260504201680672</v>
      </c>
      <c r="BL68" s="0" t="n">
        <f aca="false">IF($B$66=1,COUNTIF(C68:BJ68,"&gt;="&amp;$C$66),0)</f>
        <v>37</v>
      </c>
      <c r="BM68" s="0" t="n">
        <f aca="false">IF($B$66=1,IF(OR(BS68&gt;=Settings!$B$5,Settings!$C$15&gt;0),MAX(BL68,Settings!$C$15),0),0)</f>
        <v>37</v>
      </c>
      <c r="BN68" s="0" t="n">
        <f aca="false">IF($B$66=1,IF(OR(BS68&gt;=Settings!$B$5,Settings!$C$15&gt;0),MAX(0,(2*MAX(BL68,Settings!$C$15)+1)*$C$66-BS68),MAX(0,Settings!$B$5-BS68)),"")</f>
        <v>0.000344827586206908</v>
      </c>
      <c r="BO68" s="0" t="n">
        <f aca="false">IF($B$66=1,IF(OR(BS68&gt;=Settings!$B$5,Settings!$C$15&gt;0),IF(BL68&lt;=Settings!$C$15,"Protected by electorates",IF(Settings!$C$15=0,MIN(BS68-(2*BL68-1)*$D$66,BS68-Settings!$B$5),BS68-(2*BL68-1)*$D$66)),""),"")</f>
        <v>0.00826666666666664</v>
      </c>
      <c r="BP68" s="0" t="n">
        <f aca="false">IF($B$66=1,IF(OR(BS68&gt;=Settings!$B$5,Settings!$C$15&gt;0),MAX(0,MIN(1,(BS68/$C$66-(2*MAX(BL68,Settings!$C$15)-1))/2)),MIN(1,BS68/Settings!$B$5)),"")</f>
        <v>0.958333333333329</v>
      </c>
      <c r="BQ68" s="0" t="n">
        <f aca="false">IF(AND($B$66=1,COUNTIF(C68:BJ68,$C$66)&gt;0),1,0)</f>
        <v>0</v>
      </c>
      <c r="BR68" s="0" t="n">
        <f aca="false">IF(AND($B$66=1,COUNTIF(C68:BJ68,$D$66)&gt;0),1,0)</f>
        <v>1</v>
      </c>
      <c r="BS68" s="0" t="n">
        <f aca="false">N(IF(Polls!I13="",Polls!I37,Polls!I13))</f>
        <v>0.31</v>
      </c>
      <c r="BT68" s="0" t="str">
        <f aca="false">IF(OR(BS68&gt;=Settings!$B$5,Settings!$C$15&gt;0),"Next seat","Threshold")</f>
        <v>Next seat</v>
      </c>
    </row>
    <row r="69" customFormat="false" ht="15" hidden="false" customHeight="false" outlineLevel="0" collapsed="false">
      <c r="A69" s="0" t="s">
        <v>45</v>
      </c>
      <c r="B69" s="0" t="n">
        <f aca="false">IF(OR(BS69&gt;=Settings!$B$5,Settings!$C$16&gt;0),BS69,0)</f>
        <v>0.12</v>
      </c>
      <c r="C69" s="0" t="n">
        <f aca="false">$B69/C$1</f>
        <v>0.12</v>
      </c>
      <c r="D69" s="0" t="n">
        <f aca="false">$B69/D$1</f>
        <v>0.04</v>
      </c>
      <c r="E69" s="0" t="n">
        <f aca="false">$B69/E$1</f>
        <v>0.024</v>
      </c>
      <c r="F69" s="0" t="n">
        <f aca="false">$B69/F$1</f>
        <v>0.0171428571428571</v>
      </c>
      <c r="G69" s="0" t="n">
        <f aca="false">$B69/G$1</f>
        <v>0.0133333333333333</v>
      </c>
      <c r="H69" s="0" t="n">
        <f aca="false">$B69/H$1</f>
        <v>0.0109090909090909</v>
      </c>
      <c r="I69" s="0" t="n">
        <f aca="false">$B69/I$1</f>
        <v>0.00923076923076923</v>
      </c>
      <c r="J69" s="0" t="n">
        <f aca="false">$B69/J$1</f>
        <v>0.008</v>
      </c>
      <c r="K69" s="0" t="n">
        <f aca="false">$B69/K$1</f>
        <v>0.00705882352941176</v>
      </c>
      <c r="L69" s="0" t="n">
        <f aca="false">$B69/L$1</f>
        <v>0.00631578947368421</v>
      </c>
      <c r="M69" s="0" t="n">
        <f aca="false">$B69/M$1</f>
        <v>0.00571428571428571</v>
      </c>
      <c r="N69" s="0" t="n">
        <f aca="false">$B69/N$1</f>
        <v>0.00521739130434783</v>
      </c>
      <c r="O69" s="0" t="n">
        <f aca="false">$B69/O$1</f>
        <v>0.0048</v>
      </c>
      <c r="P69" s="0" t="n">
        <f aca="false">$B69/P$1</f>
        <v>0.00444444444444444</v>
      </c>
      <c r="Q69" s="0" t="n">
        <f aca="false">$B69/Q$1</f>
        <v>0.00413793103448276</v>
      </c>
      <c r="R69" s="0" t="n">
        <f aca="false">$B69/R$1</f>
        <v>0.00387096774193548</v>
      </c>
      <c r="S69" s="0" t="n">
        <f aca="false">$B69/S$1</f>
        <v>0.00363636363636364</v>
      </c>
      <c r="T69" s="0" t="n">
        <f aca="false">$B69/T$1</f>
        <v>0.00342857142857143</v>
      </c>
      <c r="U69" s="0" t="n">
        <f aca="false">$B69/U$1</f>
        <v>0.00324324324324324</v>
      </c>
      <c r="V69" s="0" t="n">
        <f aca="false">$B69/V$1</f>
        <v>0.00307692307692308</v>
      </c>
      <c r="W69" s="0" t="n">
        <f aca="false">$B69/W$1</f>
        <v>0.00292682926829268</v>
      </c>
      <c r="X69" s="0" t="n">
        <f aca="false">$B69/X$1</f>
        <v>0.0027906976744186</v>
      </c>
      <c r="Y69" s="0" t="n">
        <f aca="false">$B69/Y$1</f>
        <v>0.00266666666666667</v>
      </c>
      <c r="Z69" s="0" t="n">
        <f aca="false">$B69/Z$1</f>
        <v>0.0025531914893617</v>
      </c>
      <c r="AA69" s="0" t="n">
        <f aca="false">$B69/AA$1</f>
        <v>0.00244897959183673</v>
      </c>
      <c r="AB69" s="0" t="n">
        <f aca="false">$B69/AB$1</f>
        <v>0.00235294117647059</v>
      </c>
      <c r="AC69" s="0" t="n">
        <f aca="false">$B69/AC$1</f>
        <v>0.00226415094339623</v>
      </c>
      <c r="AD69" s="0" t="n">
        <f aca="false">$B69/AD$1</f>
        <v>0.00218181818181818</v>
      </c>
      <c r="AE69" s="0" t="n">
        <f aca="false">$B69/AE$1</f>
        <v>0.00210526315789474</v>
      </c>
      <c r="AF69" s="0" t="n">
        <f aca="false">$B69/AF$1</f>
        <v>0.00203389830508475</v>
      </c>
      <c r="AG69" s="0" t="n">
        <f aca="false">$B69/AG$1</f>
        <v>0.0019672131147541</v>
      </c>
      <c r="AH69" s="0" t="n">
        <f aca="false">$B69/AH$1</f>
        <v>0.0019047619047619</v>
      </c>
      <c r="AI69" s="0" t="n">
        <f aca="false">$B69/AI$1</f>
        <v>0.00184615384615385</v>
      </c>
      <c r="AJ69" s="0" t="n">
        <f aca="false">$B69/AJ$1</f>
        <v>0.0017910447761194</v>
      </c>
      <c r="AK69" s="0" t="n">
        <f aca="false">$B69/AK$1</f>
        <v>0.00173913043478261</v>
      </c>
      <c r="AL69" s="0" t="n">
        <f aca="false">$B69/AL$1</f>
        <v>0.00169014084507042</v>
      </c>
      <c r="AM69" s="0" t="n">
        <f aca="false">$B69/AM$1</f>
        <v>0.00164383561643836</v>
      </c>
      <c r="AN69" s="0" t="n">
        <f aca="false">$B69/AN$1</f>
        <v>0.0016</v>
      </c>
      <c r="AO69" s="0" t="n">
        <f aca="false">$B69/AO$1</f>
        <v>0.00155844155844156</v>
      </c>
      <c r="AP69" s="0" t="n">
        <f aca="false">$B69/AP$1</f>
        <v>0.00151898734177215</v>
      </c>
      <c r="AQ69" s="0" t="n">
        <f aca="false">$B69/AQ$1</f>
        <v>0.00148148148148148</v>
      </c>
      <c r="AR69" s="0" t="n">
        <f aca="false">$B69/AR$1</f>
        <v>0.00144578313253012</v>
      </c>
      <c r="AS69" s="0" t="n">
        <f aca="false">$B69/AS$1</f>
        <v>0.00141176470588235</v>
      </c>
      <c r="AT69" s="0" t="n">
        <f aca="false">$B69/AT$1</f>
        <v>0.00137931034482759</v>
      </c>
      <c r="AU69" s="0" t="n">
        <f aca="false">$B69/AU$1</f>
        <v>0.00134831460674157</v>
      </c>
      <c r="AV69" s="0" t="n">
        <f aca="false">$B69/AV$1</f>
        <v>0.00131868131868132</v>
      </c>
      <c r="AW69" s="0" t="n">
        <f aca="false">$B69/AW$1</f>
        <v>0.00129032258064516</v>
      </c>
      <c r="AX69" s="0" t="n">
        <f aca="false">$B69/AX$1</f>
        <v>0.00126315789473684</v>
      </c>
      <c r="AY69" s="0" t="n">
        <f aca="false">$B69/AY$1</f>
        <v>0.00123711340206186</v>
      </c>
      <c r="AZ69" s="0" t="n">
        <f aca="false">$B69/AZ$1</f>
        <v>0.00121212121212121</v>
      </c>
      <c r="BA69" s="0" t="n">
        <f aca="false">$B69/BA$1</f>
        <v>0.00118811881188119</v>
      </c>
      <c r="BB69" s="0" t="n">
        <f aca="false">$B69/BB$1</f>
        <v>0.00116504854368932</v>
      </c>
      <c r="BC69" s="0" t="n">
        <f aca="false">$B69/BC$1</f>
        <v>0.00114285714285714</v>
      </c>
      <c r="BD69" s="0" t="n">
        <f aca="false">$B69/BD$1</f>
        <v>0.0011214953271028</v>
      </c>
      <c r="BE69" s="0" t="n">
        <f aca="false">$B69/BE$1</f>
        <v>0.00110091743119266</v>
      </c>
      <c r="BF69" s="0" t="n">
        <f aca="false">$B69/BF$1</f>
        <v>0.00108108108108108</v>
      </c>
      <c r="BG69" s="0" t="n">
        <f aca="false">$B69/BG$1</f>
        <v>0.00106194690265487</v>
      </c>
      <c r="BH69" s="0" t="n">
        <f aca="false">$B69/BH$1</f>
        <v>0.00104347826086957</v>
      </c>
      <c r="BI69" s="0" t="n">
        <f aca="false">$B69/BI$1</f>
        <v>0.00102564102564103</v>
      </c>
      <c r="BJ69" s="0" t="n">
        <f aca="false">$B69/BJ$1</f>
        <v>0.00100840336134454</v>
      </c>
      <c r="BL69" s="0" t="n">
        <f aca="false">IF($B$66=1,COUNTIF(C69:BJ69,"&gt;="&amp;$C$66),0)</f>
        <v>15</v>
      </c>
      <c r="BM69" s="0" t="n">
        <f aca="false">IF($B$66=1,IF(OR(BS69&gt;=Settings!$B$5,Settings!$C$16&gt;0),MAX(BL69,Settings!$C$16),0),0)</f>
        <v>15</v>
      </c>
      <c r="BN69" s="0" t="n">
        <f aca="false">IF($B$66=1,IF(OR(BS69&gt;=Settings!$B$5,Settings!$C$16&gt;0),MAX(0,(2*MAX(BL69,Settings!$C$16)+1)*$C$66-BS69),MAX(0,Settings!$B$5-BS69)),"")</f>
        <v>0.00827586206896552</v>
      </c>
      <c r="BO69" s="0" t="n">
        <f aca="false">IF($B$66=1,IF(OR(BS69&gt;=Settings!$B$5,Settings!$C$16&gt;0),IF(BL69&lt;=Settings!$C$16,"Protected by electorates",IF(Settings!$C$16=0,MIN(BS69-(2*BL69-1)*$D$66,BS69-Settings!$B$5),BS69-(2*BL69-1)*$D$66)),""),"")</f>
        <v>0.000133333333333319</v>
      </c>
      <c r="BP69" s="0" t="n">
        <f aca="false">IF($B$66=1,IF(OR(BS69&gt;=Settings!$B$5,Settings!$C$16&gt;0),MAX(0,MIN(1,(BS69/$C$66-(2*MAX(BL69,Settings!$C$16)-1))/2)),MIN(1,BS69/Settings!$B$5)),"")</f>
        <v>0</v>
      </c>
      <c r="BQ69" s="0" t="n">
        <f aca="false">IF(AND($B$66=1,COUNTIF(C69:BJ69,$C$66)&gt;0),1,0)</f>
        <v>1</v>
      </c>
      <c r="BR69" s="0" t="n">
        <f aca="false">IF(AND($B$66=1,COUNTIF(C69:BJ69,$D$66)&gt;0),1,0)</f>
        <v>0</v>
      </c>
      <c r="BS69" s="0" t="n">
        <f aca="false">N(IF(Polls!J13="",Polls!J37,Polls!J13))</f>
        <v>0.12</v>
      </c>
      <c r="BT69" s="0" t="str">
        <f aca="false">IF(OR(BS69&gt;=Settings!$B$5,Settings!$C$16&gt;0),"Next seat","Threshold")</f>
        <v>Next seat</v>
      </c>
    </row>
    <row r="70" customFormat="false" ht="15" hidden="false" customHeight="false" outlineLevel="0" collapsed="false">
      <c r="A70" s="0" t="s">
        <v>46</v>
      </c>
      <c r="B70" s="0" t="n">
        <f aca="false">IF(OR(BS70&gt;=Settings!$B$5,Settings!$C$17&gt;0),BS70,0)</f>
        <v>0.08</v>
      </c>
      <c r="C70" s="0" t="n">
        <f aca="false">$B70/C$1</f>
        <v>0.08</v>
      </c>
      <c r="D70" s="0" t="n">
        <f aca="false">$B70/D$1</f>
        <v>0.0266666666666667</v>
      </c>
      <c r="E70" s="0" t="n">
        <f aca="false">$B70/E$1</f>
        <v>0.016</v>
      </c>
      <c r="F70" s="0" t="n">
        <f aca="false">$B70/F$1</f>
        <v>0.0114285714285714</v>
      </c>
      <c r="G70" s="0" t="n">
        <f aca="false">$B70/G$1</f>
        <v>0.00888888888888889</v>
      </c>
      <c r="H70" s="0" t="n">
        <f aca="false">$B70/H$1</f>
        <v>0.00727272727272727</v>
      </c>
      <c r="I70" s="0" t="n">
        <f aca="false">$B70/I$1</f>
        <v>0.00615384615384615</v>
      </c>
      <c r="J70" s="0" t="n">
        <f aca="false">$B70/J$1</f>
        <v>0.00533333333333333</v>
      </c>
      <c r="K70" s="0" t="n">
        <f aca="false">$B70/K$1</f>
        <v>0.00470588235294118</v>
      </c>
      <c r="L70" s="0" t="n">
        <f aca="false">$B70/L$1</f>
        <v>0.00421052631578947</v>
      </c>
      <c r="M70" s="0" t="n">
        <f aca="false">$B70/M$1</f>
        <v>0.00380952380952381</v>
      </c>
      <c r="N70" s="0" t="n">
        <f aca="false">$B70/N$1</f>
        <v>0.00347826086956522</v>
      </c>
      <c r="O70" s="0" t="n">
        <f aca="false">$B70/O$1</f>
        <v>0.0032</v>
      </c>
      <c r="P70" s="0" t="n">
        <f aca="false">$B70/P$1</f>
        <v>0.00296296296296296</v>
      </c>
      <c r="Q70" s="0" t="n">
        <f aca="false">$B70/Q$1</f>
        <v>0.00275862068965517</v>
      </c>
      <c r="R70" s="0" t="n">
        <f aca="false">$B70/R$1</f>
        <v>0.00258064516129032</v>
      </c>
      <c r="S70" s="0" t="n">
        <f aca="false">$B70/S$1</f>
        <v>0.00242424242424242</v>
      </c>
      <c r="T70" s="0" t="n">
        <f aca="false">$B70/T$1</f>
        <v>0.00228571428571429</v>
      </c>
      <c r="U70" s="0" t="n">
        <f aca="false">$B70/U$1</f>
        <v>0.00216216216216216</v>
      </c>
      <c r="V70" s="0" t="n">
        <f aca="false">$B70/V$1</f>
        <v>0.00205128205128205</v>
      </c>
      <c r="W70" s="0" t="n">
        <f aca="false">$B70/W$1</f>
        <v>0.00195121951219512</v>
      </c>
      <c r="X70" s="0" t="n">
        <f aca="false">$B70/X$1</f>
        <v>0.00186046511627907</v>
      </c>
      <c r="Y70" s="0" t="n">
        <f aca="false">$B70/Y$1</f>
        <v>0.00177777777777778</v>
      </c>
      <c r="Z70" s="0" t="n">
        <f aca="false">$B70/Z$1</f>
        <v>0.00170212765957447</v>
      </c>
      <c r="AA70" s="0" t="n">
        <f aca="false">$B70/AA$1</f>
        <v>0.00163265306122449</v>
      </c>
      <c r="AB70" s="0" t="n">
        <f aca="false">$B70/AB$1</f>
        <v>0.00156862745098039</v>
      </c>
      <c r="AC70" s="0" t="n">
        <f aca="false">$B70/AC$1</f>
        <v>0.00150943396226415</v>
      </c>
      <c r="AD70" s="0" t="n">
        <f aca="false">$B70/AD$1</f>
        <v>0.00145454545454545</v>
      </c>
      <c r="AE70" s="0" t="n">
        <f aca="false">$B70/AE$1</f>
        <v>0.00140350877192982</v>
      </c>
      <c r="AF70" s="0" t="n">
        <f aca="false">$B70/AF$1</f>
        <v>0.00135593220338983</v>
      </c>
      <c r="AG70" s="0" t="n">
        <f aca="false">$B70/AG$1</f>
        <v>0.00131147540983607</v>
      </c>
      <c r="AH70" s="0" t="n">
        <f aca="false">$B70/AH$1</f>
        <v>0.00126984126984127</v>
      </c>
      <c r="AI70" s="0" t="n">
        <f aca="false">$B70/AI$1</f>
        <v>0.00123076923076923</v>
      </c>
      <c r="AJ70" s="0" t="n">
        <f aca="false">$B70/AJ$1</f>
        <v>0.00119402985074627</v>
      </c>
      <c r="AK70" s="0" t="n">
        <f aca="false">$B70/AK$1</f>
        <v>0.00115942028985507</v>
      </c>
      <c r="AL70" s="0" t="n">
        <f aca="false">$B70/AL$1</f>
        <v>0.00112676056338028</v>
      </c>
      <c r="AM70" s="0" t="n">
        <f aca="false">$B70/AM$1</f>
        <v>0.0010958904109589</v>
      </c>
      <c r="AN70" s="0" t="n">
        <f aca="false">$B70/AN$1</f>
        <v>0.00106666666666667</v>
      </c>
      <c r="AO70" s="0" t="n">
        <f aca="false">$B70/AO$1</f>
        <v>0.00103896103896104</v>
      </c>
      <c r="AP70" s="0" t="n">
        <f aca="false">$B70/AP$1</f>
        <v>0.0010126582278481</v>
      </c>
      <c r="AQ70" s="0" t="n">
        <f aca="false">$B70/AQ$1</f>
        <v>0.000987654320987654</v>
      </c>
      <c r="AR70" s="0" t="n">
        <f aca="false">$B70/AR$1</f>
        <v>0.000963855421686747</v>
      </c>
      <c r="AS70" s="0" t="n">
        <f aca="false">$B70/AS$1</f>
        <v>0.000941176470588235</v>
      </c>
      <c r="AT70" s="0" t="n">
        <f aca="false">$B70/AT$1</f>
        <v>0.000919540229885057</v>
      </c>
      <c r="AU70" s="0" t="n">
        <f aca="false">$B70/AU$1</f>
        <v>0.000898876404494382</v>
      </c>
      <c r="AV70" s="0" t="n">
        <f aca="false">$B70/AV$1</f>
        <v>0.000879120879120879</v>
      </c>
      <c r="AW70" s="0" t="n">
        <f aca="false">$B70/AW$1</f>
        <v>0.000860215053763441</v>
      </c>
      <c r="AX70" s="0" t="n">
        <f aca="false">$B70/AX$1</f>
        <v>0.000842105263157895</v>
      </c>
      <c r="AY70" s="0" t="n">
        <f aca="false">$B70/AY$1</f>
        <v>0.000824742268041237</v>
      </c>
      <c r="AZ70" s="0" t="n">
        <f aca="false">$B70/AZ$1</f>
        <v>0.000808080808080808</v>
      </c>
      <c r="BA70" s="0" t="n">
        <f aca="false">$B70/BA$1</f>
        <v>0.000792079207920792</v>
      </c>
      <c r="BB70" s="0" t="n">
        <f aca="false">$B70/BB$1</f>
        <v>0.000776699029126214</v>
      </c>
      <c r="BC70" s="0" t="n">
        <f aca="false">$B70/BC$1</f>
        <v>0.000761904761904762</v>
      </c>
      <c r="BD70" s="0" t="n">
        <f aca="false">$B70/BD$1</f>
        <v>0.000747663551401869</v>
      </c>
      <c r="BE70" s="0" t="n">
        <f aca="false">$B70/BE$1</f>
        <v>0.00073394495412844</v>
      </c>
      <c r="BF70" s="0" t="n">
        <f aca="false">$B70/BF$1</f>
        <v>0.000720720720720721</v>
      </c>
      <c r="BG70" s="0" t="n">
        <f aca="false">$B70/BG$1</f>
        <v>0.000707964601769912</v>
      </c>
      <c r="BH70" s="0" t="n">
        <f aca="false">$B70/BH$1</f>
        <v>0.000695652173913044</v>
      </c>
      <c r="BI70" s="0" t="n">
        <f aca="false">$B70/BI$1</f>
        <v>0.000683760683760684</v>
      </c>
      <c r="BJ70" s="0" t="n">
        <f aca="false">$B70/BJ$1</f>
        <v>0.000672268907563025</v>
      </c>
      <c r="BL70" s="0" t="n">
        <f aca="false">IF($B$66=1,COUNTIF(C70:BJ70,"&gt;="&amp;$C$66),0)</f>
        <v>10</v>
      </c>
      <c r="BM70" s="0" t="n">
        <f aca="false">IF($B$66=1,IF(OR(BS70&gt;=Settings!$B$5,Settings!$C$17&gt;0),MAX(BL70,Settings!$C$17),0),0)</f>
        <v>10</v>
      </c>
      <c r="BN70" s="0" t="n">
        <f aca="false">IF($B$66=1,IF(OR(BS70&gt;=Settings!$B$5,Settings!$C$17&gt;0),MAX(0,(2*MAX(BL70,Settings!$C$17)+1)*$C$66-BS70),MAX(0,Settings!$B$5-BS70)),"")</f>
        <v>0.00689655172413793</v>
      </c>
      <c r="BO70" s="0" t="n">
        <f aca="false">IF($B$66=1,IF(OR(BS70&gt;=Settings!$B$5,Settings!$C$17&gt;0),IF(BL70&lt;=Settings!$C$17,"Protected by electorates",IF(Settings!$C$17=0,MIN(BS70-(2*BL70-1)*$D$66,BS70-Settings!$B$5),BS70-(2*BL70-1)*$D$66)),""),"")</f>
        <v>0.00146666666666667</v>
      </c>
      <c r="BP70" s="0" t="n">
        <f aca="false">IF($B$66=1,IF(OR(BS70&gt;=Settings!$B$5,Settings!$C$17&gt;0),MAX(0,MIN(1,(BS70/$C$66-(2*MAX(BL70,Settings!$C$17)-1))/2)),MIN(1,BS70/Settings!$B$5)),"")</f>
        <v>0.166666666666666</v>
      </c>
      <c r="BQ70" s="0" t="n">
        <f aca="false">IF(AND($B$66=1,COUNTIF(C70:BJ70,$C$66)&gt;0),1,0)</f>
        <v>0</v>
      </c>
      <c r="BR70" s="0" t="n">
        <f aca="false">IF(AND($B$66=1,COUNTIF(C70:BJ70,$D$66)&gt;0),1,0)</f>
        <v>0</v>
      </c>
      <c r="BS70" s="0" t="n">
        <f aca="false">N(IF(Polls!K13="",Polls!K37,Polls!K13))</f>
        <v>0.08</v>
      </c>
      <c r="BT70" s="0" t="str">
        <f aca="false">IF(OR(BS70&gt;=Settings!$B$5,Settings!$C$17&gt;0),"Next seat","Threshold")</f>
        <v>Next seat</v>
      </c>
    </row>
    <row r="71" customFormat="false" ht="15" hidden="false" customHeight="false" outlineLevel="0" collapsed="false">
      <c r="A71" s="0" t="s">
        <v>48</v>
      </c>
      <c r="B71" s="0" t="n">
        <f aca="false">IF(OR(BS71&gt;=Settings!$B$5,Settings!$C$18&gt;0),BS71,0)</f>
        <v>0.1</v>
      </c>
      <c r="C71" s="0" t="n">
        <f aca="false">$B71/C$1</f>
        <v>0.1</v>
      </c>
      <c r="D71" s="0" t="n">
        <f aca="false">$B71/D$1</f>
        <v>0.0333333333333333</v>
      </c>
      <c r="E71" s="0" t="n">
        <f aca="false">$B71/E$1</f>
        <v>0.02</v>
      </c>
      <c r="F71" s="0" t="n">
        <f aca="false">$B71/F$1</f>
        <v>0.0142857142857143</v>
      </c>
      <c r="G71" s="0" t="n">
        <f aca="false">$B71/G$1</f>
        <v>0.0111111111111111</v>
      </c>
      <c r="H71" s="0" t="n">
        <f aca="false">$B71/H$1</f>
        <v>0.00909090909090909</v>
      </c>
      <c r="I71" s="0" t="n">
        <f aca="false">$B71/I$1</f>
        <v>0.00769230769230769</v>
      </c>
      <c r="J71" s="0" t="n">
        <f aca="false">$B71/J$1</f>
        <v>0.00666666666666667</v>
      </c>
      <c r="K71" s="0" t="n">
        <f aca="false">$B71/K$1</f>
        <v>0.00588235294117647</v>
      </c>
      <c r="L71" s="0" t="n">
        <f aca="false">$B71/L$1</f>
        <v>0.00526315789473684</v>
      </c>
      <c r="M71" s="0" t="n">
        <f aca="false">$B71/M$1</f>
        <v>0.00476190476190476</v>
      </c>
      <c r="N71" s="0" t="n">
        <f aca="false">$B71/N$1</f>
        <v>0.00434782608695652</v>
      </c>
      <c r="O71" s="0" t="n">
        <f aca="false">$B71/O$1</f>
        <v>0.004</v>
      </c>
      <c r="P71" s="0" t="n">
        <f aca="false">$B71/P$1</f>
        <v>0.0037037037037037</v>
      </c>
      <c r="Q71" s="0" t="n">
        <f aca="false">$B71/Q$1</f>
        <v>0.00344827586206897</v>
      </c>
      <c r="R71" s="0" t="n">
        <f aca="false">$B71/R$1</f>
        <v>0.0032258064516129</v>
      </c>
      <c r="S71" s="0" t="n">
        <f aca="false">$B71/S$1</f>
        <v>0.00303030303030303</v>
      </c>
      <c r="T71" s="0" t="n">
        <f aca="false">$B71/T$1</f>
        <v>0.00285714285714286</v>
      </c>
      <c r="U71" s="0" t="n">
        <f aca="false">$B71/U$1</f>
        <v>0.0027027027027027</v>
      </c>
      <c r="V71" s="0" t="n">
        <f aca="false">$B71/V$1</f>
        <v>0.00256410256410256</v>
      </c>
      <c r="W71" s="0" t="n">
        <f aca="false">$B71/W$1</f>
        <v>0.0024390243902439</v>
      </c>
      <c r="X71" s="0" t="n">
        <f aca="false">$B71/X$1</f>
        <v>0.00232558139534884</v>
      </c>
      <c r="Y71" s="0" t="n">
        <f aca="false">$B71/Y$1</f>
        <v>0.00222222222222222</v>
      </c>
      <c r="Z71" s="0" t="n">
        <f aca="false">$B71/Z$1</f>
        <v>0.00212765957446809</v>
      </c>
      <c r="AA71" s="0" t="n">
        <f aca="false">$B71/AA$1</f>
        <v>0.00204081632653061</v>
      </c>
      <c r="AB71" s="0" t="n">
        <f aca="false">$B71/AB$1</f>
        <v>0.00196078431372549</v>
      </c>
      <c r="AC71" s="0" t="n">
        <f aca="false">$B71/AC$1</f>
        <v>0.00188679245283019</v>
      </c>
      <c r="AD71" s="0" t="n">
        <f aca="false">$B71/AD$1</f>
        <v>0.00181818181818182</v>
      </c>
      <c r="AE71" s="0" t="n">
        <f aca="false">$B71/AE$1</f>
        <v>0.00175438596491228</v>
      </c>
      <c r="AF71" s="0" t="n">
        <f aca="false">$B71/AF$1</f>
        <v>0.00169491525423729</v>
      </c>
      <c r="AG71" s="0" t="n">
        <f aca="false">$B71/AG$1</f>
        <v>0.00163934426229508</v>
      </c>
      <c r="AH71" s="0" t="n">
        <f aca="false">$B71/AH$1</f>
        <v>0.00158730158730159</v>
      </c>
      <c r="AI71" s="0" t="n">
        <f aca="false">$B71/AI$1</f>
        <v>0.00153846153846154</v>
      </c>
      <c r="AJ71" s="0" t="n">
        <f aca="false">$B71/AJ$1</f>
        <v>0.00149253731343284</v>
      </c>
      <c r="AK71" s="0" t="n">
        <f aca="false">$B71/AK$1</f>
        <v>0.00144927536231884</v>
      </c>
      <c r="AL71" s="0" t="n">
        <f aca="false">$B71/AL$1</f>
        <v>0.00140845070422535</v>
      </c>
      <c r="AM71" s="0" t="n">
        <f aca="false">$B71/AM$1</f>
        <v>0.00136986301369863</v>
      </c>
      <c r="AN71" s="0" t="n">
        <f aca="false">$B71/AN$1</f>
        <v>0.00133333333333333</v>
      </c>
      <c r="AO71" s="0" t="n">
        <f aca="false">$B71/AO$1</f>
        <v>0.0012987012987013</v>
      </c>
      <c r="AP71" s="0" t="n">
        <f aca="false">$B71/AP$1</f>
        <v>0.00126582278481013</v>
      </c>
      <c r="AQ71" s="0" t="n">
        <f aca="false">$B71/AQ$1</f>
        <v>0.00123456790123457</v>
      </c>
      <c r="AR71" s="0" t="n">
        <f aca="false">$B71/AR$1</f>
        <v>0.00120481927710843</v>
      </c>
      <c r="AS71" s="0" t="n">
        <f aca="false">$B71/AS$1</f>
        <v>0.00117647058823529</v>
      </c>
      <c r="AT71" s="0" t="n">
        <f aca="false">$B71/AT$1</f>
        <v>0.00114942528735632</v>
      </c>
      <c r="AU71" s="0" t="n">
        <f aca="false">$B71/AU$1</f>
        <v>0.00112359550561798</v>
      </c>
      <c r="AV71" s="0" t="n">
        <f aca="false">$B71/AV$1</f>
        <v>0.0010989010989011</v>
      </c>
      <c r="AW71" s="0" t="n">
        <f aca="false">$B71/AW$1</f>
        <v>0.0010752688172043</v>
      </c>
      <c r="AX71" s="0" t="n">
        <f aca="false">$B71/AX$1</f>
        <v>0.00105263157894737</v>
      </c>
      <c r="AY71" s="0" t="n">
        <f aca="false">$B71/AY$1</f>
        <v>0.00103092783505155</v>
      </c>
      <c r="AZ71" s="0" t="n">
        <f aca="false">$B71/AZ$1</f>
        <v>0.00101010101010101</v>
      </c>
      <c r="BA71" s="0" t="n">
        <f aca="false">$B71/BA$1</f>
        <v>0.00099009900990099</v>
      </c>
      <c r="BB71" s="0" t="n">
        <f aca="false">$B71/BB$1</f>
        <v>0.000970873786407767</v>
      </c>
      <c r="BC71" s="0" t="n">
        <f aca="false">$B71/BC$1</f>
        <v>0.000952380952380952</v>
      </c>
      <c r="BD71" s="0" t="n">
        <f aca="false">$B71/BD$1</f>
        <v>0.000934579439252337</v>
      </c>
      <c r="BE71" s="0" t="n">
        <f aca="false">$B71/BE$1</f>
        <v>0.000917431192660551</v>
      </c>
      <c r="BF71" s="0" t="n">
        <f aca="false">$B71/BF$1</f>
        <v>0.000900900900900901</v>
      </c>
      <c r="BG71" s="0" t="n">
        <f aca="false">$B71/BG$1</f>
        <v>0.00088495575221239</v>
      </c>
      <c r="BH71" s="0" t="n">
        <f aca="false">$B71/BH$1</f>
        <v>0.000869565217391304</v>
      </c>
      <c r="BI71" s="0" t="n">
        <f aca="false">$B71/BI$1</f>
        <v>0.000854700854700855</v>
      </c>
      <c r="BJ71" s="0" t="n">
        <f aca="false">$B71/BJ$1</f>
        <v>0.000840336134453782</v>
      </c>
      <c r="BL71" s="0" t="n">
        <f aca="false">IF($B$66=1,COUNTIF(C71:BJ71,"&gt;="&amp;$C$66),0)</f>
        <v>12</v>
      </c>
      <c r="BM71" s="0" t="n">
        <f aca="false">IF($B$66=1,IF(OR(BS71&gt;=Settings!$B$5,Settings!$C$18&gt;0),MAX(BL71,Settings!$C$18),0),0)</f>
        <v>12</v>
      </c>
      <c r="BN71" s="0" t="n">
        <f aca="false">IF($B$66=1,IF(OR(BS71&gt;=Settings!$B$5,Settings!$C$18&gt;0),MAX(0,(2*MAX(BL71,Settings!$C$18)+1)*$C$66-BS71),MAX(0,Settings!$B$5-BS71)),"")</f>
        <v>0.00344827586206896</v>
      </c>
      <c r="BO71" s="0" t="n">
        <f aca="false">IF($B$66=1,IF(OR(BS71&gt;=Settings!$B$5,Settings!$C$18&gt;0),IF(BL71&lt;=Settings!$C$18,"Protected by electorates",IF(Settings!$C$18=0,MIN(BS71-(2*BL71-1)*$D$66,BS71-Settings!$B$5),BS71-(2*BL71-1)*$D$66)),""),"")</f>
        <v>0.00493333333333333</v>
      </c>
      <c r="BP71" s="0" t="n">
        <f aca="false">IF($B$66=1,IF(OR(BS71&gt;=Settings!$B$5,Settings!$C$18&gt;0),MAX(0,MIN(1,(BS71/$C$66-(2*MAX(BL71,Settings!$C$18)-1))/2)),MIN(1,BS71/Settings!$B$5)),"")</f>
        <v>0.583333333333334</v>
      </c>
      <c r="BQ71" s="0" t="n">
        <f aca="false">IF(AND($B$66=1,COUNTIF(C71:BJ71,$C$66)&gt;0),1,0)</f>
        <v>0</v>
      </c>
      <c r="BR71" s="0" t="n">
        <f aca="false">IF(AND($B$66=1,COUNTIF(C71:BJ71,$D$66)&gt;0),1,0)</f>
        <v>0</v>
      </c>
      <c r="BS71" s="0" t="n">
        <f aca="false">N(IF(Polls!L13="",Polls!L37,Polls!L13))</f>
        <v>0.1</v>
      </c>
      <c r="BT71" s="0" t="str">
        <f aca="false">IF(OR(BS71&gt;=Settings!$B$5,Settings!$C$18&gt;0),"Next seat","Threshold")</f>
        <v>Next seat</v>
      </c>
    </row>
    <row r="72" customFormat="false" ht="15" hidden="false" customHeight="false" outlineLevel="0" collapsed="false">
      <c r="A72" s="0" t="s">
        <v>50</v>
      </c>
      <c r="B72" s="0" t="n">
        <f aca="false">IF(OR(BS72&gt;=Settings!$B$5,Settings!$C$19&gt;0),BS72,0)</f>
        <v>0.02</v>
      </c>
      <c r="C72" s="0" t="n">
        <f aca="false">$B72/C$1</f>
        <v>0.02</v>
      </c>
      <c r="D72" s="0" t="n">
        <f aca="false">$B72/D$1</f>
        <v>0.00666666666666667</v>
      </c>
      <c r="E72" s="0" t="n">
        <f aca="false">$B72/E$1</f>
        <v>0.004</v>
      </c>
      <c r="F72" s="0" t="n">
        <f aca="false">$B72/F$1</f>
        <v>0.00285714285714286</v>
      </c>
      <c r="G72" s="0" t="n">
        <f aca="false">$B72/G$1</f>
        <v>0.00222222222222222</v>
      </c>
      <c r="H72" s="0" t="n">
        <f aca="false">$B72/H$1</f>
        <v>0.00181818181818182</v>
      </c>
      <c r="I72" s="0" t="n">
        <f aca="false">$B72/I$1</f>
        <v>0.00153846153846154</v>
      </c>
      <c r="J72" s="0" t="n">
        <f aca="false">$B72/J$1</f>
        <v>0.00133333333333333</v>
      </c>
      <c r="K72" s="0" t="n">
        <f aca="false">$B72/K$1</f>
        <v>0.00117647058823529</v>
      </c>
      <c r="L72" s="0" t="n">
        <f aca="false">$B72/L$1</f>
        <v>0.00105263157894737</v>
      </c>
      <c r="M72" s="0" t="n">
        <f aca="false">$B72/M$1</f>
        <v>0.000952380952380952</v>
      </c>
      <c r="N72" s="0" t="n">
        <f aca="false">$B72/N$1</f>
        <v>0.000869565217391304</v>
      </c>
      <c r="O72" s="0" t="n">
        <f aca="false">$B72/O$1</f>
        <v>0.0008</v>
      </c>
      <c r="P72" s="0" t="n">
        <f aca="false">$B72/P$1</f>
        <v>0.000740740740740741</v>
      </c>
      <c r="Q72" s="0" t="n">
        <f aca="false">$B72/Q$1</f>
        <v>0.000689655172413793</v>
      </c>
      <c r="R72" s="0" t="n">
        <f aca="false">$B72/R$1</f>
        <v>0.000645161290322581</v>
      </c>
      <c r="S72" s="0" t="n">
        <f aca="false">$B72/S$1</f>
        <v>0.000606060606060606</v>
      </c>
      <c r="T72" s="0" t="n">
        <f aca="false">$B72/T$1</f>
        <v>0.000571428571428572</v>
      </c>
      <c r="U72" s="0" t="n">
        <f aca="false">$B72/U$1</f>
        <v>0.000540540540540541</v>
      </c>
      <c r="V72" s="0" t="n">
        <f aca="false">$B72/V$1</f>
        <v>0.000512820512820513</v>
      </c>
      <c r="W72" s="0" t="n">
        <f aca="false">$B72/W$1</f>
        <v>0.000487804878048781</v>
      </c>
      <c r="X72" s="0" t="n">
        <f aca="false">$B72/X$1</f>
        <v>0.000465116279069767</v>
      </c>
      <c r="Y72" s="0" t="n">
        <f aca="false">$B72/Y$1</f>
        <v>0.000444444444444444</v>
      </c>
      <c r="Z72" s="0" t="n">
        <f aca="false">$B72/Z$1</f>
        <v>0.000425531914893617</v>
      </c>
      <c r="AA72" s="0" t="n">
        <f aca="false">$B72/AA$1</f>
        <v>0.000408163265306122</v>
      </c>
      <c r="AB72" s="0" t="n">
        <f aca="false">$B72/AB$1</f>
        <v>0.000392156862745098</v>
      </c>
      <c r="AC72" s="0" t="n">
        <f aca="false">$B72/AC$1</f>
        <v>0.000377358490566038</v>
      </c>
      <c r="AD72" s="0" t="n">
        <f aca="false">$B72/AD$1</f>
        <v>0.000363636363636364</v>
      </c>
      <c r="AE72" s="0" t="n">
        <f aca="false">$B72/AE$1</f>
        <v>0.000350877192982456</v>
      </c>
      <c r="AF72" s="0" t="n">
        <f aca="false">$B72/AF$1</f>
        <v>0.000338983050847458</v>
      </c>
      <c r="AG72" s="0" t="n">
        <f aca="false">$B72/AG$1</f>
        <v>0.000327868852459016</v>
      </c>
      <c r="AH72" s="0" t="n">
        <f aca="false">$B72/AH$1</f>
        <v>0.000317460317460317</v>
      </c>
      <c r="AI72" s="0" t="n">
        <f aca="false">$B72/AI$1</f>
        <v>0.000307692307692308</v>
      </c>
      <c r="AJ72" s="0" t="n">
        <f aca="false">$B72/AJ$1</f>
        <v>0.000298507462686567</v>
      </c>
      <c r="AK72" s="0" t="n">
        <f aca="false">$B72/AK$1</f>
        <v>0.000289855072463768</v>
      </c>
      <c r="AL72" s="0" t="n">
        <f aca="false">$B72/AL$1</f>
        <v>0.00028169014084507</v>
      </c>
      <c r="AM72" s="0" t="n">
        <f aca="false">$B72/AM$1</f>
        <v>0.000273972602739726</v>
      </c>
      <c r="AN72" s="0" t="n">
        <f aca="false">$B72/AN$1</f>
        <v>0.000266666666666667</v>
      </c>
      <c r="AO72" s="0" t="n">
        <f aca="false">$B72/AO$1</f>
        <v>0.00025974025974026</v>
      </c>
      <c r="AP72" s="0" t="n">
        <f aca="false">$B72/AP$1</f>
        <v>0.000253164556962025</v>
      </c>
      <c r="AQ72" s="0" t="n">
        <f aca="false">$B72/AQ$1</f>
        <v>0.000246913580246914</v>
      </c>
      <c r="AR72" s="0" t="n">
        <f aca="false">$B72/AR$1</f>
        <v>0.000240963855421687</v>
      </c>
      <c r="AS72" s="0" t="n">
        <f aca="false">$B72/AS$1</f>
        <v>0.000235294117647059</v>
      </c>
      <c r="AT72" s="0" t="n">
        <f aca="false">$B72/AT$1</f>
        <v>0.000229885057471264</v>
      </c>
      <c r="AU72" s="0" t="n">
        <f aca="false">$B72/AU$1</f>
        <v>0.000224719101123596</v>
      </c>
      <c r="AV72" s="0" t="n">
        <f aca="false">$B72/AV$1</f>
        <v>0.00021978021978022</v>
      </c>
      <c r="AW72" s="0" t="n">
        <f aca="false">$B72/AW$1</f>
        <v>0.00021505376344086</v>
      </c>
      <c r="AX72" s="0" t="n">
        <f aca="false">$B72/AX$1</f>
        <v>0.000210526315789474</v>
      </c>
      <c r="AY72" s="0" t="n">
        <f aca="false">$B72/AY$1</f>
        <v>0.000206185567010309</v>
      </c>
      <c r="AZ72" s="0" t="n">
        <f aca="false">$B72/AZ$1</f>
        <v>0.000202020202020202</v>
      </c>
      <c r="BA72" s="0" t="n">
        <f aca="false">$B72/BA$1</f>
        <v>0.000198019801980198</v>
      </c>
      <c r="BB72" s="0" t="n">
        <f aca="false">$B72/BB$1</f>
        <v>0.000194174757281553</v>
      </c>
      <c r="BC72" s="0" t="n">
        <f aca="false">$B72/BC$1</f>
        <v>0.00019047619047619</v>
      </c>
      <c r="BD72" s="0" t="n">
        <f aca="false">$B72/BD$1</f>
        <v>0.000186915887850467</v>
      </c>
      <c r="BE72" s="0" t="n">
        <f aca="false">$B72/BE$1</f>
        <v>0.00018348623853211</v>
      </c>
      <c r="BF72" s="0" t="n">
        <f aca="false">$B72/BF$1</f>
        <v>0.00018018018018018</v>
      </c>
      <c r="BG72" s="0" t="n">
        <f aca="false">$B72/BG$1</f>
        <v>0.000176991150442478</v>
      </c>
      <c r="BH72" s="0" t="n">
        <f aca="false">$B72/BH$1</f>
        <v>0.000173913043478261</v>
      </c>
      <c r="BI72" s="0" t="n">
        <f aca="false">$B72/BI$1</f>
        <v>0.000170940170940171</v>
      </c>
      <c r="BJ72" s="0" t="n">
        <f aca="false">$B72/BJ$1</f>
        <v>0.000168067226890756</v>
      </c>
      <c r="BL72" s="0" t="n">
        <f aca="false">IF($B$66=1,COUNTIF(C72:BJ72,"&gt;="&amp;$C$66),0)</f>
        <v>2</v>
      </c>
      <c r="BM72" s="0" t="n">
        <f aca="false">IF($B$66=1,IF(OR(BS72&gt;=Settings!$B$5,Settings!$C$19&gt;0),MAX(BL72,Settings!$C$19),0),0)</f>
        <v>4</v>
      </c>
      <c r="BN72" s="0" t="n">
        <f aca="false">IF($B$66=1,IF(OR(BS72&gt;=Settings!$B$5,Settings!$C$19&gt;0),MAX(0,(2*MAX(BL72,Settings!$C$19)+1)*$C$66-BS72),MAX(0,Settings!$B$5-BS72)),"")</f>
        <v>0.0172413793103448</v>
      </c>
      <c r="BO72" s="0" t="str">
        <f aca="false">IF($B$66=1,IF(OR(BS72&gt;=Settings!$B$5,Settings!$C$19&gt;0),IF(BL72&lt;=Settings!$C$19,"Protected by electorates",IF(Settings!$C$19=0,MIN(BS72-(2*BL72-1)*$D$66,BS72-Settings!$B$5),BS72-(2*BL72-1)*$D$66)),""),"")</f>
        <v>Protected by electorates</v>
      </c>
      <c r="BP72" s="0" t="n">
        <f aca="false">IF($B$66=1,IF(OR(BS72&gt;=Settings!$B$5,Settings!$C$19&gt;0),MAX(0,MIN(1,(BS72/$C$66-(2*MAX(BL72,Settings!$C$19)-1))/2)),MIN(1,BS72/Settings!$B$5)),"")</f>
        <v>0</v>
      </c>
      <c r="BQ72" s="0" t="n">
        <f aca="false">IF(AND($B$66=1,COUNTIF(C72:BJ72,$C$66)&gt;0),1,0)</f>
        <v>0</v>
      </c>
      <c r="BR72" s="0" t="n">
        <f aca="false">IF(AND($B$66=1,COUNTIF(C72:BJ72,$D$66)&gt;0),1,0)</f>
        <v>0</v>
      </c>
      <c r="BS72" s="0" t="n">
        <f aca="false">N(IF(Polls!M13="",Polls!M37,Polls!M13))</f>
        <v>0.02</v>
      </c>
      <c r="BT72" s="0" t="str">
        <f aca="false">IF(OR(BS72&gt;=Settings!$B$5,Settings!$C$19&gt;0),"Next seat","Threshold")</f>
        <v>Next seat</v>
      </c>
    </row>
    <row r="73" customFormat="false" ht="15" hidden="false" customHeight="false" outlineLevel="0" collapsed="false">
      <c r="A73" s="0" t="s">
        <v>52</v>
      </c>
      <c r="B73" s="0" t="n">
        <f aca="false">IF(OR(BS73&gt;=Settings!$B$5,Settings!$C$20&gt;0),BS73,0)</f>
        <v>0.07</v>
      </c>
      <c r="C73" s="0" t="n">
        <f aca="false">$B73/C$1</f>
        <v>0.07</v>
      </c>
      <c r="D73" s="0" t="n">
        <f aca="false">$B73/D$1</f>
        <v>0.0233333333333333</v>
      </c>
      <c r="E73" s="0" t="n">
        <f aca="false">$B73/E$1</f>
        <v>0.014</v>
      </c>
      <c r="F73" s="0" t="n">
        <f aca="false">$B73/F$1</f>
        <v>0.01</v>
      </c>
      <c r="G73" s="0" t="n">
        <f aca="false">$B73/G$1</f>
        <v>0.00777777777777778</v>
      </c>
      <c r="H73" s="0" t="n">
        <f aca="false">$B73/H$1</f>
        <v>0.00636363636363636</v>
      </c>
      <c r="I73" s="0" t="n">
        <f aca="false">$B73/I$1</f>
        <v>0.00538461538461539</v>
      </c>
      <c r="J73" s="0" t="n">
        <f aca="false">$B73/J$1</f>
        <v>0.00466666666666667</v>
      </c>
      <c r="K73" s="0" t="n">
        <f aca="false">$B73/K$1</f>
        <v>0.00411764705882353</v>
      </c>
      <c r="L73" s="0" t="n">
        <f aca="false">$B73/L$1</f>
        <v>0.00368421052631579</v>
      </c>
      <c r="M73" s="0" t="n">
        <f aca="false">$B73/M$1</f>
        <v>0.00333333333333333</v>
      </c>
      <c r="N73" s="0" t="n">
        <f aca="false">$B73/N$1</f>
        <v>0.00304347826086957</v>
      </c>
      <c r="O73" s="0" t="n">
        <f aca="false">$B73/O$1</f>
        <v>0.0028</v>
      </c>
      <c r="P73" s="0" t="n">
        <f aca="false">$B73/P$1</f>
        <v>0.00259259259259259</v>
      </c>
      <c r="Q73" s="0" t="n">
        <f aca="false">$B73/Q$1</f>
        <v>0.00241379310344828</v>
      </c>
      <c r="R73" s="0" t="n">
        <f aca="false">$B73/R$1</f>
        <v>0.00225806451612903</v>
      </c>
      <c r="S73" s="0" t="n">
        <f aca="false">$B73/S$1</f>
        <v>0.00212121212121212</v>
      </c>
      <c r="T73" s="0" t="n">
        <f aca="false">$B73/T$1</f>
        <v>0.002</v>
      </c>
      <c r="U73" s="0" t="n">
        <f aca="false">$B73/U$1</f>
        <v>0.00189189189189189</v>
      </c>
      <c r="V73" s="0" t="n">
        <f aca="false">$B73/V$1</f>
        <v>0.0017948717948718</v>
      </c>
      <c r="W73" s="0" t="n">
        <f aca="false">$B73/W$1</f>
        <v>0.00170731707317073</v>
      </c>
      <c r="X73" s="0" t="n">
        <f aca="false">$B73/X$1</f>
        <v>0.00162790697674419</v>
      </c>
      <c r="Y73" s="0" t="n">
        <f aca="false">$B73/Y$1</f>
        <v>0.00155555555555556</v>
      </c>
      <c r="Z73" s="0" t="n">
        <f aca="false">$B73/Z$1</f>
        <v>0.00148936170212766</v>
      </c>
      <c r="AA73" s="0" t="n">
        <f aca="false">$B73/AA$1</f>
        <v>0.00142857142857143</v>
      </c>
      <c r="AB73" s="0" t="n">
        <f aca="false">$B73/AB$1</f>
        <v>0.00137254901960784</v>
      </c>
      <c r="AC73" s="0" t="n">
        <f aca="false">$B73/AC$1</f>
        <v>0.00132075471698113</v>
      </c>
      <c r="AD73" s="0" t="n">
        <f aca="false">$B73/AD$1</f>
        <v>0.00127272727272727</v>
      </c>
      <c r="AE73" s="0" t="n">
        <f aca="false">$B73/AE$1</f>
        <v>0.0012280701754386</v>
      </c>
      <c r="AF73" s="0" t="n">
        <f aca="false">$B73/AF$1</f>
        <v>0.0011864406779661</v>
      </c>
      <c r="AG73" s="0" t="n">
        <f aca="false">$B73/AG$1</f>
        <v>0.00114754098360656</v>
      </c>
      <c r="AH73" s="0" t="n">
        <f aca="false">$B73/AH$1</f>
        <v>0.00111111111111111</v>
      </c>
      <c r="AI73" s="0" t="n">
        <f aca="false">$B73/AI$1</f>
        <v>0.00107692307692308</v>
      </c>
      <c r="AJ73" s="0" t="n">
        <f aca="false">$B73/AJ$1</f>
        <v>0.00104477611940299</v>
      </c>
      <c r="AK73" s="0" t="n">
        <f aca="false">$B73/AK$1</f>
        <v>0.00101449275362319</v>
      </c>
      <c r="AL73" s="0" t="n">
        <f aca="false">$B73/AL$1</f>
        <v>0.000985915492957747</v>
      </c>
      <c r="AM73" s="0" t="n">
        <f aca="false">$B73/AM$1</f>
        <v>0.000958904109589041</v>
      </c>
      <c r="AN73" s="0" t="n">
        <f aca="false">$B73/AN$1</f>
        <v>0.000933333333333333</v>
      </c>
      <c r="AO73" s="0" t="n">
        <f aca="false">$B73/AO$1</f>
        <v>0.000909090909090909</v>
      </c>
      <c r="AP73" s="0" t="n">
        <f aca="false">$B73/AP$1</f>
        <v>0.000886075949367089</v>
      </c>
      <c r="AQ73" s="0" t="n">
        <f aca="false">$B73/AQ$1</f>
        <v>0.000864197530864198</v>
      </c>
      <c r="AR73" s="0" t="n">
        <f aca="false">$B73/AR$1</f>
        <v>0.000843373493975904</v>
      </c>
      <c r="AS73" s="0" t="n">
        <f aca="false">$B73/AS$1</f>
        <v>0.000823529411764706</v>
      </c>
      <c r="AT73" s="0" t="n">
        <f aca="false">$B73/AT$1</f>
        <v>0.000804597701149425</v>
      </c>
      <c r="AU73" s="0" t="n">
        <f aca="false">$B73/AU$1</f>
        <v>0.000786516853932584</v>
      </c>
      <c r="AV73" s="0" t="n">
        <f aca="false">$B73/AV$1</f>
        <v>0.000769230769230769</v>
      </c>
      <c r="AW73" s="0" t="n">
        <f aca="false">$B73/AW$1</f>
        <v>0.000752688172043011</v>
      </c>
      <c r="AX73" s="0" t="n">
        <f aca="false">$B73/AX$1</f>
        <v>0.000736842105263158</v>
      </c>
      <c r="AY73" s="0" t="n">
        <f aca="false">$B73/AY$1</f>
        <v>0.000721649484536083</v>
      </c>
      <c r="AZ73" s="0" t="n">
        <f aca="false">$B73/AZ$1</f>
        <v>0.000707070707070707</v>
      </c>
      <c r="BA73" s="0" t="n">
        <f aca="false">$B73/BA$1</f>
        <v>0.000693069306930693</v>
      </c>
      <c r="BB73" s="0" t="n">
        <f aca="false">$B73/BB$1</f>
        <v>0.000679611650485437</v>
      </c>
      <c r="BC73" s="0" t="n">
        <f aca="false">$B73/BC$1</f>
        <v>0.000666666666666667</v>
      </c>
      <c r="BD73" s="0" t="n">
        <f aca="false">$B73/BD$1</f>
        <v>0.000654205607476636</v>
      </c>
      <c r="BE73" s="0" t="n">
        <f aca="false">$B73/BE$1</f>
        <v>0.000642201834862385</v>
      </c>
      <c r="BF73" s="0" t="n">
        <f aca="false">$B73/BF$1</f>
        <v>0.000630630630630631</v>
      </c>
      <c r="BG73" s="0" t="n">
        <f aca="false">$B73/BG$1</f>
        <v>0.000619469026548673</v>
      </c>
      <c r="BH73" s="0" t="n">
        <f aca="false">$B73/BH$1</f>
        <v>0.000608695652173913</v>
      </c>
      <c r="BI73" s="0" t="n">
        <f aca="false">$B73/BI$1</f>
        <v>0.000598290598290598</v>
      </c>
      <c r="BJ73" s="0" t="n">
        <f aca="false">$B73/BJ$1</f>
        <v>0.000588235294117647</v>
      </c>
      <c r="BL73" s="0" t="n">
        <f aca="false">IF($B$66=1,COUNTIF(C73:BJ73,"&gt;="&amp;$C$66),0)</f>
        <v>8</v>
      </c>
      <c r="BM73" s="0" t="n">
        <f aca="false">IF($B$66=1,IF(OR(BS73&gt;=Settings!$B$5,Settings!$C$20&gt;0),MAX(BL73,Settings!$C$20),0),0)</f>
        <v>8</v>
      </c>
      <c r="BN73" s="0" t="n">
        <f aca="false">IF($B$66=1,IF(OR(BS73&gt;=Settings!$B$5,Settings!$C$20&gt;0),MAX(0,(2*MAX(BL73,Settings!$C$20)+1)*$C$66-BS73),MAX(0,Settings!$B$5-BS73)),"")</f>
        <v>0.000344827586206894</v>
      </c>
      <c r="BO73" s="0" t="n">
        <f aca="false">IF($B$66=1,IF(OR(BS73&gt;=Settings!$B$5,Settings!$C$20&gt;0),IF(BL73&lt;=Settings!$C$20,"Protected by electorates",IF(Settings!$C$20=0,MIN(BS73-(2*BL73-1)*$D$66,BS73-Settings!$B$5),BS73-(2*BL73-1)*$D$66)),""),"")</f>
        <v>0.00800000000000001</v>
      </c>
      <c r="BP73" s="0" t="n">
        <f aca="false">IF($B$66=1,IF(OR(BS73&gt;=Settings!$B$5,Settings!$C$20&gt;0),MAX(0,MIN(1,(BS73/$C$66-(2*MAX(BL73,Settings!$C$20)-1))/2)),MIN(1,BS73/Settings!$B$5)),"")</f>
        <v>0.958333333333334</v>
      </c>
      <c r="BQ73" s="0" t="n">
        <f aca="false">IF(AND($B$66=1,COUNTIF(C73:BJ73,$C$66)&gt;0),1,0)</f>
        <v>0</v>
      </c>
      <c r="BR73" s="0" t="n">
        <f aca="false">IF(AND($B$66=1,COUNTIF(C73:BJ73,$D$66)&gt;0),1,0)</f>
        <v>0</v>
      </c>
      <c r="BS73" s="0" t="n">
        <f aca="false">N(IF(Polls!N13="",Polls!N37,Polls!N13))</f>
        <v>0.07</v>
      </c>
      <c r="BT73" s="0" t="str">
        <f aca="false">IF(OR(BS73&gt;=Settings!$B$5,Settings!$C$20&gt;0),"Next seat","Threshold")</f>
        <v>Next seat</v>
      </c>
    </row>
    <row r="75" customFormat="false" ht="15" hidden="false" customHeight="false" outlineLevel="0" collapsed="false">
      <c r="A75" s="41" t="str">
        <f aca="false">Polls!A14</f>
        <v>Curia Sep</v>
      </c>
      <c r="B75" s="17" t="n">
        <f aca="false">IF(SUM(BS76:BS82)&gt;0,1,0)</f>
        <v>1</v>
      </c>
      <c r="C75" s="17" t="n">
        <f aca="false">IF(B75=1,LARGE(C76:BJ82,Settings!$B$4),0)</f>
        <v>0.00375675675675676</v>
      </c>
      <c r="D75" s="17" t="n">
        <f aca="false">IF(B75=1,LARGE(C76:BJ82,Settings!$B$4+1),0)</f>
        <v>0.0037536231884058</v>
      </c>
      <c r="E75" s="0" t="str">
        <f aca="false">IF(B75=1,IFERROR(INDEX(A76:A82,MATCH(1,BQ76:BQ82,0)),""),"")</f>
        <v>GRN</v>
      </c>
      <c r="F75" s="0" t="str">
        <f aca="false">IF(B75=1,IFERROR(INDEX(A76:A82,MATCH(1,BR76:BR82,0)),""),"")</f>
        <v>LAB</v>
      </c>
      <c r="G75" s="17" t="n">
        <f aca="false">IF(B75=1,SUM(BM76:BM82)+Settings!$B$10,"")</f>
        <v>121</v>
      </c>
    </row>
    <row r="76" customFormat="false" ht="15" hidden="false" customHeight="false" outlineLevel="0" collapsed="false">
      <c r="A76" s="0" t="s">
        <v>41</v>
      </c>
      <c r="B76" s="0" t="n">
        <f aca="false">IF(OR(BS76&gt;=Settings!$B$5,Settings!$C$14&gt;0),BS76,0)</f>
        <v>0.29</v>
      </c>
      <c r="C76" s="0" t="n">
        <f aca="false">$B76/C$1</f>
        <v>0.29</v>
      </c>
      <c r="D76" s="0" t="n">
        <f aca="false">$B76/D$1</f>
        <v>0.0966666666666667</v>
      </c>
      <c r="E76" s="0" t="n">
        <f aca="false">$B76/E$1</f>
        <v>0.058</v>
      </c>
      <c r="F76" s="0" t="n">
        <f aca="false">$B76/F$1</f>
        <v>0.0414285714285714</v>
      </c>
      <c r="G76" s="0" t="n">
        <f aca="false">$B76/G$1</f>
        <v>0.0322222222222222</v>
      </c>
      <c r="H76" s="0" t="n">
        <f aca="false">$B76/H$1</f>
        <v>0.0263636363636364</v>
      </c>
      <c r="I76" s="0" t="n">
        <f aca="false">$B76/I$1</f>
        <v>0.0223076923076923</v>
      </c>
      <c r="J76" s="0" t="n">
        <f aca="false">$B76/J$1</f>
        <v>0.0193333333333333</v>
      </c>
      <c r="K76" s="0" t="n">
        <f aca="false">$B76/K$1</f>
        <v>0.0170588235294118</v>
      </c>
      <c r="L76" s="0" t="n">
        <f aca="false">$B76/L$1</f>
        <v>0.0152631578947368</v>
      </c>
      <c r="M76" s="0" t="n">
        <f aca="false">$B76/M$1</f>
        <v>0.0138095238095238</v>
      </c>
      <c r="N76" s="0" t="n">
        <f aca="false">$B76/N$1</f>
        <v>0.0126086956521739</v>
      </c>
      <c r="O76" s="0" t="n">
        <f aca="false">$B76/O$1</f>
        <v>0.0116</v>
      </c>
      <c r="P76" s="0" t="n">
        <f aca="false">$B76/P$1</f>
        <v>0.0107407407407407</v>
      </c>
      <c r="Q76" s="0" t="n">
        <f aca="false">$B76/Q$1</f>
        <v>0.01</v>
      </c>
      <c r="R76" s="0" t="n">
        <f aca="false">$B76/R$1</f>
        <v>0.00935483870967742</v>
      </c>
      <c r="S76" s="0" t="n">
        <f aca="false">$B76/S$1</f>
        <v>0.00878787878787879</v>
      </c>
      <c r="T76" s="0" t="n">
        <f aca="false">$B76/T$1</f>
        <v>0.00828571428571429</v>
      </c>
      <c r="U76" s="0" t="n">
        <f aca="false">$B76/U$1</f>
        <v>0.00783783783783784</v>
      </c>
      <c r="V76" s="0" t="n">
        <f aca="false">$B76/V$1</f>
        <v>0.00743589743589744</v>
      </c>
      <c r="W76" s="0" t="n">
        <f aca="false">$B76/W$1</f>
        <v>0.00707317073170732</v>
      </c>
      <c r="X76" s="0" t="n">
        <f aca="false">$B76/X$1</f>
        <v>0.00674418604651163</v>
      </c>
      <c r="Y76" s="0" t="n">
        <f aca="false">$B76/Y$1</f>
        <v>0.00644444444444444</v>
      </c>
      <c r="Z76" s="0" t="n">
        <f aca="false">$B76/Z$1</f>
        <v>0.00617021276595745</v>
      </c>
      <c r="AA76" s="0" t="n">
        <f aca="false">$B76/AA$1</f>
        <v>0.00591836734693878</v>
      </c>
      <c r="AB76" s="0" t="n">
        <f aca="false">$B76/AB$1</f>
        <v>0.00568627450980392</v>
      </c>
      <c r="AC76" s="0" t="n">
        <f aca="false">$B76/AC$1</f>
        <v>0.00547169811320755</v>
      </c>
      <c r="AD76" s="0" t="n">
        <f aca="false">$B76/AD$1</f>
        <v>0.00527272727272727</v>
      </c>
      <c r="AE76" s="0" t="n">
        <f aca="false">$B76/AE$1</f>
        <v>0.00508771929824561</v>
      </c>
      <c r="AF76" s="0" t="n">
        <f aca="false">$B76/AF$1</f>
        <v>0.00491525423728814</v>
      </c>
      <c r="AG76" s="0" t="n">
        <f aca="false">$B76/AG$1</f>
        <v>0.00475409836065574</v>
      </c>
      <c r="AH76" s="0" t="n">
        <f aca="false">$B76/AH$1</f>
        <v>0.0046031746031746</v>
      </c>
      <c r="AI76" s="0" t="n">
        <f aca="false">$B76/AI$1</f>
        <v>0.00446153846153846</v>
      </c>
      <c r="AJ76" s="0" t="n">
        <f aca="false">$B76/AJ$1</f>
        <v>0.00432835820895522</v>
      </c>
      <c r="AK76" s="0" t="n">
        <f aca="false">$B76/AK$1</f>
        <v>0.00420289855072464</v>
      </c>
      <c r="AL76" s="0" t="n">
        <f aca="false">$B76/AL$1</f>
        <v>0.00408450704225352</v>
      </c>
      <c r="AM76" s="0" t="n">
        <f aca="false">$B76/AM$1</f>
        <v>0.00397260273972603</v>
      </c>
      <c r="AN76" s="0" t="n">
        <f aca="false">$B76/AN$1</f>
        <v>0.00386666666666667</v>
      </c>
      <c r="AO76" s="0" t="n">
        <f aca="false">$B76/AO$1</f>
        <v>0.00376623376623377</v>
      </c>
      <c r="AP76" s="0" t="n">
        <f aca="false">$B76/AP$1</f>
        <v>0.00367088607594937</v>
      </c>
      <c r="AQ76" s="0" t="n">
        <f aca="false">$B76/AQ$1</f>
        <v>0.00358024691358025</v>
      </c>
      <c r="AR76" s="0" t="n">
        <f aca="false">$B76/AR$1</f>
        <v>0.00349397590361446</v>
      </c>
      <c r="AS76" s="0" t="n">
        <f aca="false">$B76/AS$1</f>
        <v>0.00341176470588235</v>
      </c>
      <c r="AT76" s="0" t="n">
        <f aca="false">$B76/AT$1</f>
        <v>0.00333333333333333</v>
      </c>
      <c r="AU76" s="0" t="n">
        <f aca="false">$B76/AU$1</f>
        <v>0.00325842696629213</v>
      </c>
      <c r="AV76" s="0" t="n">
        <f aca="false">$B76/AV$1</f>
        <v>0.00318681318681319</v>
      </c>
      <c r="AW76" s="0" t="n">
        <f aca="false">$B76/AW$1</f>
        <v>0.00311827956989247</v>
      </c>
      <c r="AX76" s="0" t="n">
        <f aca="false">$B76/AX$1</f>
        <v>0.00305263157894737</v>
      </c>
      <c r="AY76" s="0" t="n">
        <f aca="false">$B76/AY$1</f>
        <v>0.00298969072164948</v>
      </c>
      <c r="AZ76" s="0" t="n">
        <f aca="false">$B76/AZ$1</f>
        <v>0.00292929292929293</v>
      </c>
      <c r="BA76" s="0" t="n">
        <f aca="false">$B76/BA$1</f>
        <v>0.00287128712871287</v>
      </c>
      <c r="BB76" s="0" t="n">
        <f aca="false">$B76/BB$1</f>
        <v>0.00281553398058252</v>
      </c>
      <c r="BC76" s="0" t="n">
        <f aca="false">$B76/BC$1</f>
        <v>0.00276190476190476</v>
      </c>
      <c r="BD76" s="0" t="n">
        <f aca="false">$B76/BD$1</f>
        <v>0.00271028037383178</v>
      </c>
      <c r="BE76" s="0" t="n">
        <f aca="false">$B76/BE$1</f>
        <v>0.0026605504587156</v>
      </c>
      <c r="BF76" s="0" t="n">
        <f aca="false">$B76/BF$1</f>
        <v>0.00261261261261261</v>
      </c>
      <c r="BG76" s="0" t="n">
        <f aca="false">$B76/BG$1</f>
        <v>0.00256637168141593</v>
      </c>
      <c r="BH76" s="0" t="n">
        <f aca="false">$B76/BH$1</f>
        <v>0.00252173913043478</v>
      </c>
      <c r="BI76" s="0" t="n">
        <f aca="false">$B76/BI$1</f>
        <v>0.00247863247863248</v>
      </c>
      <c r="BJ76" s="0" t="n">
        <f aca="false">$B76/BJ$1</f>
        <v>0.00243697478991597</v>
      </c>
      <c r="BL76" s="0" t="n">
        <f aca="false">IF($B$75=1,COUNTIF(C76:BJ76,"&gt;="&amp;$C$75),0)</f>
        <v>39</v>
      </c>
      <c r="BM76" s="0" t="n">
        <f aca="false">IF($B$75=1,IF(OR(BS76&gt;=Settings!$B$5,Settings!$C$14&gt;0),MAX(BL76,Settings!$C$14),0),0)</f>
        <v>39</v>
      </c>
      <c r="BN76" s="0" t="n">
        <f aca="false">IF($B$75=1,IF(OR(BS76&gt;=Settings!$B$5,Settings!$C$14&gt;0),MAX(0,(2*MAX(BL76,Settings!$C$14)+1)*$C$75-BS76),MAX(0,Settings!$B$5-BS76)),"")</f>
        <v>0.0067837837837838</v>
      </c>
      <c r="BO76" s="0" t="n">
        <f aca="false">IF($B$75=1,IF(OR(BS76&gt;=Settings!$B$5,Settings!$C$14&gt;0),IF(BL76&lt;=Settings!$C$14,"Protected by electorates",IF(Settings!$C$14=0,MIN(BS76-(2*BL76-1)*$D$75,BS76-Settings!$B$5),BS76-(2*BL76-1)*$D$75)),""),"")</f>
        <v>0.000971014492753608</v>
      </c>
      <c r="BP76" s="0" t="n">
        <f aca="false">IF($B$75=1,IF(OR(BS76&gt;=Settings!$B$5,Settings!$C$14&gt;0),MAX(0,MIN(1,(BS76/$C$75-(2*MAX(BL76,Settings!$C$14)-1))/2)),MIN(1,BS76/Settings!$B$5)),"")</f>
        <v>0.0971223021582688</v>
      </c>
      <c r="BQ76" s="0" t="n">
        <f aca="false">IF(AND($B$75=1,COUNTIF(C76:BJ76,$C$75)&gt;0),1,0)</f>
        <v>0</v>
      </c>
      <c r="BR76" s="0" t="n">
        <f aca="false">IF(AND($B$75=1,COUNTIF(C76:BJ76,$D$75)&gt;0),1,0)</f>
        <v>0</v>
      </c>
      <c r="BS76" s="0" t="n">
        <f aca="false">N(IF(Polls!H14="",Polls!H37,Polls!H14))</f>
        <v>0.29</v>
      </c>
      <c r="BT76" s="0" t="str">
        <f aca="false">IF(OR(BS76&gt;=Settings!$B$5,Settings!$C$14&gt;0),"Next seat","Threshold")</f>
        <v>Next seat</v>
      </c>
    </row>
    <row r="77" customFormat="false" ht="15" hidden="false" customHeight="false" outlineLevel="0" collapsed="false">
      <c r="A77" s="0" t="s">
        <v>43</v>
      </c>
      <c r="B77" s="0" t="n">
        <f aca="false">IF(OR(BS77&gt;=Settings!$B$5,Settings!$C$15&gt;0),BS77,0)</f>
        <v>0.259</v>
      </c>
      <c r="C77" s="0" t="n">
        <f aca="false">$B77/C$1</f>
        <v>0.259</v>
      </c>
      <c r="D77" s="0" t="n">
        <f aca="false">$B77/D$1</f>
        <v>0.0863333333333333</v>
      </c>
      <c r="E77" s="0" t="n">
        <f aca="false">$B77/E$1</f>
        <v>0.0518</v>
      </c>
      <c r="F77" s="0" t="n">
        <f aca="false">$B77/F$1</f>
        <v>0.037</v>
      </c>
      <c r="G77" s="0" t="n">
        <f aca="false">$B77/G$1</f>
        <v>0.0287777777777778</v>
      </c>
      <c r="H77" s="0" t="n">
        <f aca="false">$B77/H$1</f>
        <v>0.0235454545454545</v>
      </c>
      <c r="I77" s="0" t="n">
        <f aca="false">$B77/I$1</f>
        <v>0.0199230769230769</v>
      </c>
      <c r="J77" s="0" t="n">
        <f aca="false">$B77/J$1</f>
        <v>0.0172666666666667</v>
      </c>
      <c r="K77" s="0" t="n">
        <f aca="false">$B77/K$1</f>
        <v>0.0152352941176471</v>
      </c>
      <c r="L77" s="0" t="n">
        <f aca="false">$B77/L$1</f>
        <v>0.0136315789473684</v>
      </c>
      <c r="M77" s="0" t="n">
        <f aca="false">$B77/M$1</f>
        <v>0.0123333333333333</v>
      </c>
      <c r="N77" s="0" t="n">
        <f aca="false">$B77/N$1</f>
        <v>0.0112608695652174</v>
      </c>
      <c r="O77" s="0" t="n">
        <f aca="false">$B77/O$1</f>
        <v>0.01036</v>
      </c>
      <c r="P77" s="0" t="n">
        <f aca="false">$B77/P$1</f>
        <v>0.00959259259259259</v>
      </c>
      <c r="Q77" s="0" t="n">
        <f aca="false">$B77/Q$1</f>
        <v>0.00893103448275862</v>
      </c>
      <c r="R77" s="0" t="n">
        <f aca="false">$B77/R$1</f>
        <v>0.00835483870967742</v>
      </c>
      <c r="S77" s="0" t="n">
        <f aca="false">$B77/S$1</f>
        <v>0.00784848484848485</v>
      </c>
      <c r="T77" s="0" t="n">
        <f aca="false">$B77/T$1</f>
        <v>0.0074</v>
      </c>
      <c r="U77" s="0" t="n">
        <f aca="false">$B77/U$1</f>
        <v>0.007</v>
      </c>
      <c r="V77" s="0" t="n">
        <f aca="false">$B77/V$1</f>
        <v>0.00664102564102564</v>
      </c>
      <c r="W77" s="0" t="n">
        <f aca="false">$B77/W$1</f>
        <v>0.00631707317073171</v>
      </c>
      <c r="X77" s="0" t="n">
        <f aca="false">$B77/X$1</f>
        <v>0.00602325581395349</v>
      </c>
      <c r="Y77" s="0" t="n">
        <f aca="false">$B77/Y$1</f>
        <v>0.00575555555555556</v>
      </c>
      <c r="Z77" s="0" t="n">
        <f aca="false">$B77/Z$1</f>
        <v>0.00551063829787234</v>
      </c>
      <c r="AA77" s="0" t="n">
        <f aca="false">$B77/AA$1</f>
        <v>0.00528571428571429</v>
      </c>
      <c r="AB77" s="0" t="n">
        <f aca="false">$B77/AB$1</f>
        <v>0.00507843137254902</v>
      </c>
      <c r="AC77" s="0" t="n">
        <f aca="false">$B77/AC$1</f>
        <v>0.00488679245283019</v>
      </c>
      <c r="AD77" s="0" t="n">
        <f aca="false">$B77/AD$1</f>
        <v>0.00470909090909091</v>
      </c>
      <c r="AE77" s="0" t="n">
        <f aca="false">$B77/AE$1</f>
        <v>0.00454385964912281</v>
      </c>
      <c r="AF77" s="0" t="n">
        <f aca="false">$B77/AF$1</f>
        <v>0.00438983050847458</v>
      </c>
      <c r="AG77" s="0" t="n">
        <f aca="false">$B77/AG$1</f>
        <v>0.00424590163934426</v>
      </c>
      <c r="AH77" s="0" t="n">
        <f aca="false">$B77/AH$1</f>
        <v>0.00411111111111111</v>
      </c>
      <c r="AI77" s="0" t="n">
        <f aca="false">$B77/AI$1</f>
        <v>0.00398461538461539</v>
      </c>
      <c r="AJ77" s="0" t="n">
        <f aca="false">$B77/AJ$1</f>
        <v>0.00386567164179105</v>
      </c>
      <c r="AK77" s="0" t="n">
        <f aca="false">$B77/AK$1</f>
        <v>0.0037536231884058</v>
      </c>
      <c r="AL77" s="0" t="n">
        <f aca="false">$B77/AL$1</f>
        <v>0.00364788732394366</v>
      </c>
      <c r="AM77" s="0" t="n">
        <f aca="false">$B77/AM$1</f>
        <v>0.00354794520547945</v>
      </c>
      <c r="AN77" s="0" t="n">
        <f aca="false">$B77/AN$1</f>
        <v>0.00345333333333333</v>
      </c>
      <c r="AO77" s="0" t="n">
        <f aca="false">$B77/AO$1</f>
        <v>0.00336363636363636</v>
      </c>
      <c r="AP77" s="0" t="n">
        <f aca="false">$B77/AP$1</f>
        <v>0.00327848101265823</v>
      </c>
      <c r="AQ77" s="0" t="n">
        <f aca="false">$B77/AQ$1</f>
        <v>0.00319753086419753</v>
      </c>
      <c r="AR77" s="0" t="n">
        <f aca="false">$B77/AR$1</f>
        <v>0.00312048192771084</v>
      </c>
      <c r="AS77" s="0" t="n">
        <f aca="false">$B77/AS$1</f>
        <v>0.00304705882352941</v>
      </c>
      <c r="AT77" s="0" t="n">
        <f aca="false">$B77/AT$1</f>
        <v>0.00297701149425287</v>
      </c>
      <c r="AU77" s="0" t="n">
        <f aca="false">$B77/AU$1</f>
        <v>0.00291011235955056</v>
      </c>
      <c r="AV77" s="0" t="n">
        <f aca="false">$B77/AV$1</f>
        <v>0.00284615384615385</v>
      </c>
      <c r="AW77" s="0" t="n">
        <f aca="false">$B77/AW$1</f>
        <v>0.00278494623655914</v>
      </c>
      <c r="AX77" s="0" t="n">
        <f aca="false">$B77/AX$1</f>
        <v>0.00272631578947368</v>
      </c>
      <c r="AY77" s="0" t="n">
        <f aca="false">$B77/AY$1</f>
        <v>0.00267010309278351</v>
      </c>
      <c r="AZ77" s="0" t="n">
        <f aca="false">$B77/AZ$1</f>
        <v>0.00261616161616162</v>
      </c>
      <c r="BA77" s="0" t="n">
        <f aca="false">$B77/BA$1</f>
        <v>0.00256435643564356</v>
      </c>
      <c r="BB77" s="0" t="n">
        <f aca="false">$B77/BB$1</f>
        <v>0.00251456310679612</v>
      </c>
      <c r="BC77" s="0" t="n">
        <f aca="false">$B77/BC$1</f>
        <v>0.00246666666666667</v>
      </c>
      <c r="BD77" s="0" t="n">
        <f aca="false">$B77/BD$1</f>
        <v>0.00242056074766355</v>
      </c>
      <c r="BE77" s="0" t="n">
        <f aca="false">$B77/BE$1</f>
        <v>0.00237614678899083</v>
      </c>
      <c r="BF77" s="0" t="n">
        <f aca="false">$B77/BF$1</f>
        <v>0.00233333333333333</v>
      </c>
      <c r="BG77" s="0" t="n">
        <f aca="false">$B77/BG$1</f>
        <v>0.00229203539823009</v>
      </c>
      <c r="BH77" s="0" t="n">
        <f aca="false">$B77/BH$1</f>
        <v>0.00225217391304348</v>
      </c>
      <c r="BI77" s="0" t="n">
        <f aca="false">$B77/BI$1</f>
        <v>0.00221367521367521</v>
      </c>
      <c r="BJ77" s="0" t="n">
        <f aca="false">$B77/BJ$1</f>
        <v>0.00217647058823529</v>
      </c>
      <c r="BL77" s="0" t="n">
        <f aca="false">IF($B$75=1,COUNTIF(C77:BJ77,"&gt;="&amp;$C$75),0)</f>
        <v>34</v>
      </c>
      <c r="BM77" s="0" t="n">
        <f aca="false">IF($B$75=1,IF(OR(BS77&gt;=Settings!$B$5,Settings!$C$15&gt;0),MAX(BL77,Settings!$C$15),0),0)</f>
        <v>34</v>
      </c>
      <c r="BN77" s="0" t="n">
        <f aca="false">IF($B$75=1,IF(OR(BS77&gt;=Settings!$B$5,Settings!$C$15&gt;0),MAX(0,(2*MAX(BL77,Settings!$C$15)+1)*$C$75-BS77),MAX(0,Settings!$B$5-BS77)),"")</f>
        <v>0.000216216216216203</v>
      </c>
      <c r="BO77" s="0" t="n">
        <f aca="false">IF($B$75=1,IF(OR(BS77&gt;=Settings!$B$5,Settings!$C$15&gt;0),IF(BL77&lt;=Settings!$C$15,"Protected by electorates",IF(Settings!$C$15=0,MIN(BS77-(2*BL77-1)*$D$75,BS77-Settings!$B$5),BS77-(2*BL77-1)*$D$75)),""),"")</f>
        <v>0.00750724637681161</v>
      </c>
      <c r="BP77" s="0" t="n">
        <f aca="false">IF($B$75=1,IF(OR(BS77&gt;=Settings!$B$5,Settings!$C$15&gt;0),MAX(0,MIN(1,(BS77/$C$75-(2*MAX(BL77,Settings!$C$15)-1))/2)),MIN(1,BS77/Settings!$B$5)),"")</f>
        <v>0.97122302158273</v>
      </c>
      <c r="BQ77" s="0" t="n">
        <f aca="false">IF(AND($B$75=1,COUNTIF(C77:BJ77,$C$75)&gt;0),1,0)</f>
        <v>0</v>
      </c>
      <c r="BR77" s="0" t="n">
        <f aca="false">IF(AND($B$75=1,COUNTIF(C77:BJ77,$D$75)&gt;0),1,0)</f>
        <v>1</v>
      </c>
      <c r="BS77" s="0" t="n">
        <f aca="false">N(IF(Polls!I14="",Polls!I37,Polls!I14))</f>
        <v>0.259</v>
      </c>
      <c r="BT77" s="0" t="str">
        <f aca="false">IF(OR(BS77&gt;=Settings!$B$5,Settings!$C$15&gt;0),"Next seat","Threshold")</f>
        <v>Next seat</v>
      </c>
    </row>
    <row r="78" customFormat="false" ht="15" hidden="false" customHeight="false" outlineLevel="0" collapsed="false">
      <c r="A78" s="0" t="s">
        <v>45</v>
      </c>
      <c r="B78" s="0" t="n">
        <f aca="false">IF(OR(BS78&gt;=Settings!$B$5,Settings!$C$16&gt;0),BS78,0)</f>
        <v>0.139</v>
      </c>
      <c r="C78" s="0" t="n">
        <f aca="false">$B78/C$1</f>
        <v>0.139</v>
      </c>
      <c r="D78" s="0" t="n">
        <f aca="false">$B78/D$1</f>
        <v>0.0463333333333333</v>
      </c>
      <c r="E78" s="0" t="n">
        <f aca="false">$B78/E$1</f>
        <v>0.0278</v>
      </c>
      <c r="F78" s="0" t="n">
        <f aca="false">$B78/F$1</f>
        <v>0.0198571428571429</v>
      </c>
      <c r="G78" s="0" t="n">
        <f aca="false">$B78/G$1</f>
        <v>0.0154444444444444</v>
      </c>
      <c r="H78" s="0" t="n">
        <f aca="false">$B78/H$1</f>
        <v>0.0126363636363636</v>
      </c>
      <c r="I78" s="0" t="n">
        <f aca="false">$B78/I$1</f>
        <v>0.0106923076923077</v>
      </c>
      <c r="J78" s="0" t="n">
        <f aca="false">$B78/J$1</f>
        <v>0.00926666666666667</v>
      </c>
      <c r="K78" s="0" t="n">
        <f aca="false">$B78/K$1</f>
        <v>0.0081764705882353</v>
      </c>
      <c r="L78" s="0" t="n">
        <f aca="false">$B78/L$1</f>
        <v>0.00731578947368421</v>
      </c>
      <c r="M78" s="0" t="n">
        <f aca="false">$B78/M$1</f>
        <v>0.00661904761904762</v>
      </c>
      <c r="N78" s="0" t="n">
        <f aca="false">$B78/N$1</f>
        <v>0.00604347826086957</v>
      </c>
      <c r="O78" s="0" t="n">
        <f aca="false">$B78/O$1</f>
        <v>0.00556</v>
      </c>
      <c r="P78" s="0" t="n">
        <f aca="false">$B78/P$1</f>
        <v>0.00514814814814815</v>
      </c>
      <c r="Q78" s="0" t="n">
        <f aca="false">$B78/Q$1</f>
        <v>0.00479310344827586</v>
      </c>
      <c r="R78" s="0" t="n">
        <f aca="false">$B78/R$1</f>
        <v>0.00448387096774194</v>
      </c>
      <c r="S78" s="0" t="n">
        <f aca="false">$B78/S$1</f>
        <v>0.00421212121212121</v>
      </c>
      <c r="T78" s="0" t="n">
        <f aca="false">$B78/T$1</f>
        <v>0.00397142857142857</v>
      </c>
      <c r="U78" s="0" t="n">
        <f aca="false">$B78/U$1</f>
        <v>0.00375675675675676</v>
      </c>
      <c r="V78" s="0" t="n">
        <f aca="false">$B78/V$1</f>
        <v>0.00356410256410256</v>
      </c>
      <c r="W78" s="0" t="n">
        <f aca="false">$B78/W$1</f>
        <v>0.00339024390243903</v>
      </c>
      <c r="X78" s="0" t="n">
        <f aca="false">$B78/X$1</f>
        <v>0.00323255813953488</v>
      </c>
      <c r="Y78" s="0" t="n">
        <f aca="false">$B78/Y$1</f>
        <v>0.00308888888888889</v>
      </c>
      <c r="Z78" s="0" t="n">
        <f aca="false">$B78/Z$1</f>
        <v>0.00295744680851064</v>
      </c>
      <c r="AA78" s="0" t="n">
        <f aca="false">$B78/AA$1</f>
        <v>0.00283673469387755</v>
      </c>
      <c r="AB78" s="0" t="n">
        <f aca="false">$B78/AB$1</f>
        <v>0.00272549019607843</v>
      </c>
      <c r="AC78" s="0" t="n">
        <f aca="false">$B78/AC$1</f>
        <v>0.00262264150943396</v>
      </c>
      <c r="AD78" s="0" t="n">
        <f aca="false">$B78/AD$1</f>
        <v>0.00252727272727273</v>
      </c>
      <c r="AE78" s="0" t="n">
        <f aca="false">$B78/AE$1</f>
        <v>0.00243859649122807</v>
      </c>
      <c r="AF78" s="0" t="n">
        <f aca="false">$B78/AF$1</f>
        <v>0.00235593220338983</v>
      </c>
      <c r="AG78" s="0" t="n">
        <f aca="false">$B78/AG$1</f>
        <v>0.00227868852459016</v>
      </c>
      <c r="AH78" s="0" t="n">
        <f aca="false">$B78/AH$1</f>
        <v>0.00220634920634921</v>
      </c>
      <c r="AI78" s="0" t="n">
        <f aca="false">$B78/AI$1</f>
        <v>0.00213846153846154</v>
      </c>
      <c r="AJ78" s="0" t="n">
        <f aca="false">$B78/AJ$1</f>
        <v>0.00207462686567164</v>
      </c>
      <c r="AK78" s="0" t="n">
        <f aca="false">$B78/AK$1</f>
        <v>0.00201449275362319</v>
      </c>
      <c r="AL78" s="0" t="n">
        <f aca="false">$B78/AL$1</f>
        <v>0.00195774647887324</v>
      </c>
      <c r="AM78" s="0" t="n">
        <f aca="false">$B78/AM$1</f>
        <v>0.0019041095890411</v>
      </c>
      <c r="AN78" s="0" t="n">
        <f aca="false">$B78/AN$1</f>
        <v>0.00185333333333333</v>
      </c>
      <c r="AO78" s="0" t="n">
        <f aca="false">$B78/AO$1</f>
        <v>0.00180519480519481</v>
      </c>
      <c r="AP78" s="0" t="n">
        <f aca="false">$B78/AP$1</f>
        <v>0.00175949367088608</v>
      </c>
      <c r="AQ78" s="0" t="n">
        <f aca="false">$B78/AQ$1</f>
        <v>0.00171604938271605</v>
      </c>
      <c r="AR78" s="0" t="n">
        <f aca="false">$B78/AR$1</f>
        <v>0.00167469879518072</v>
      </c>
      <c r="AS78" s="0" t="n">
        <f aca="false">$B78/AS$1</f>
        <v>0.00163529411764706</v>
      </c>
      <c r="AT78" s="0" t="n">
        <f aca="false">$B78/AT$1</f>
        <v>0.00159770114942529</v>
      </c>
      <c r="AU78" s="0" t="n">
        <f aca="false">$B78/AU$1</f>
        <v>0.00156179775280899</v>
      </c>
      <c r="AV78" s="0" t="n">
        <f aca="false">$B78/AV$1</f>
        <v>0.00152747252747253</v>
      </c>
      <c r="AW78" s="0" t="n">
        <f aca="false">$B78/AW$1</f>
        <v>0.00149462365591398</v>
      </c>
      <c r="AX78" s="0" t="n">
        <f aca="false">$B78/AX$1</f>
        <v>0.00146315789473684</v>
      </c>
      <c r="AY78" s="0" t="n">
        <f aca="false">$B78/AY$1</f>
        <v>0.00143298969072165</v>
      </c>
      <c r="AZ78" s="0" t="n">
        <f aca="false">$B78/AZ$1</f>
        <v>0.0014040404040404</v>
      </c>
      <c r="BA78" s="0" t="n">
        <f aca="false">$B78/BA$1</f>
        <v>0.00137623762376238</v>
      </c>
      <c r="BB78" s="0" t="n">
        <f aca="false">$B78/BB$1</f>
        <v>0.0013495145631068</v>
      </c>
      <c r="BC78" s="0" t="n">
        <f aca="false">$B78/BC$1</f>
        <v>0.00132380952380952</v>
      </c>
      <c r="BD78" s="0" t="n">
        <f aca="false">$B78/BD$1</f>
        <v>0.00129906542056075</v>
      </c>
      <c r="BE78" s="0" t="n">
        <f aca="false">$B78/BE$1</f>
        <v>0.00127522935779817</v>
      </c>
      <c r="BF78" s="0" t="n">
        <f aca="false">$B78/BF$1</f>
        <v>0.00125225225225225</v>
      </c>
      <c r="BG78" s="0" t="n">
        <f aca="false">$B78/BG$1</f>
        <v>0.00123008849557522</v>
      </c>
      <c r="BH78" s="0" t="n">
        <f aca="false">$B78/BH$1</f>
        <v>0.00120869565217391</v>
      </c>
      <c r="BI78" s="0" t="n">
        <f aca="false">$B78/BI$1</f>
        <v>0.00118803418803419</v>
      </c>
      <c r="BJ78" s="0" t="n">
        <f aca="false">$B78/BJ$1</f>
        <v>0.00116806722689076</v>
      </c>
      <c r="BL78" s="0" t="n">
        <f aca="false">IF($B$75=1,COUNTIF(C78:BJ78,"&gt;="&amp;$C$75),0)</f>
        <v>19</v>
      </c>
      <c r="BM78" s="0" t="n">
        <f aca="false">IF($B$75=1,IF(OR(BS78&gt;=Settings!$B$5,Settings!$C$16&gt;0),MAX(BL78,Settings!$C$16),0),0)</f>
        <v>19</v>
      </c>
      <c r="BN78" s="0" t="n">
        <f aca="false">IF($B$75=1,IF(OR(BS78&gt;=Settings!$B$5,Settings!$C$16&gt;0),MAX(0,(2*MAX(BL78,Settings!$C$16)+1)*$C$75-BS78),MAX(0,Settings!$B$5-BS78)),"")</f>
        <v>0.00751351351351351</v>
      </c>
      <c r="BO78" s="0" t="n">
        <f aca="false">IF($B$75=1,IF(OR(BS78&gt;=Settings!$B$5,Settings!$C$16&gt;0),IF(BL78&lt;=Settings!$C$16,"Protected by electorates",IF(Settings!$C$16=0,MIN(BS78-(2*BL78-1)*$D$75,BS78-Settings!$B$5),BS78-(2*BL78-1)*$D$75)),""),"")</f>
        <v>0.000115942028985516</v>
      </c>
      <c r="BP78" s="0" t="n">
        <f aca="false">IF($B$75=1,IF(OR(BS78&gt;=Settings!$B$5,Settings!$C$16&gt;0),MAX(0,MIN(1,(BS78/$C$75-(2*MAX(BL78,Settings!$C$16)-1))/2)),MIN(1,BS78/Settings!$B$5)),"")</f>
        <v>0</v>
      </c>
      <c r="BQ78" s="0" t="n">
        <f aca="false">IF(AND($B$75=1,COUNTIF(C78:BJ78,$C$75)&gt;0),1,0)</f>
        <v>1</v>
      </c>
      <c r="BR78" s="0" t="n">
        <f aca="false">IF(AND($B$75=1,COUNTIF(C78:BJ78,$D$75)&gt;0),1,0)</f>
        <v>0</v>
      </c>
      <c r="BS78" s="0" t="n">
        <f aca="false">N(IF(Polls!J14="",Polls!J37,Polls!J14))</f>
        <v>0.139</v>
      </c>
      <c r="BT78" s="0" t="str">
        <f aca="false">IF(OR(BS78&gt;=Settings!$B$5,Settings!$C$16&gt;0),"Next seat","Threshold")</f>
        <v>Next seat</v>
      </c>
    </row>
    <row r="79" customFormat="false" ht="15" hidden="false" customHeight="false" outlineLevel="0" collapsed="false">
      <c r="A79" s="0" t="s">
        <v>46</v>
      </c>
      <c r="B79" s="0" t="n">
        <f aca="false">IF(OR(BS79&gt;=Settings!$B$5,Settings!$C$17&gt;0),BS79,0)</f>
        <v>0.105</v>
      </c>
      <c r="C79" s="0" t="n">
        <f aca="false">$B79/C$1</f>
        <v>0.105</v>
      </c>
      <c r="D79" s="0" t="n">
        <f aca="false">$B79/D$1</f>
        <v>0.035</v>
      </c>
      <c r="E79" s="0" t="n">
        <f aca="false">$B79/E$1</f>
        <v>0.021</v>
      </c>
      <c r="F79" s="0" t="n">
        <f aca="false">$B79/F$1</f>
        <v>0.015</v>
      </c>
      <c r="G79" s="0" t="n">
        <f aca="false">$B79/G$1</f>
        <v>0.0116666666666667</v>
      </c>
      <c r="H79" s="0" t="n">
        <f aca="false">$B79/H$1</f>
        <v>0.00954545454545454</v>
      </c>
      <c r="I79" s="0" t="n">
        <f aca="false">$B79/I$1</f>
        <v>0.00807692307692308</v>
      </c>
      <c r="J79" s="0" t="n">
        <f aca="false">$B79/J$1</f>
        <v>0.007</v>
      </c>
      <c r="K79" s="0" t="n">
        <f aca="false">$B79/K$1</f>
        <v>0.00617647058823529</v>
      </c>
      <c r="L79" s="0" t="n">
        <f aca="false">$B79/L$1</f>
        <v>0.00552631578947368</v>
      </c>
      <c r="M79" s="0" t="n">
        <f aca="false">$B79/M$1</f>
        <v>0.005</v>
      </c>
      <c r="N79" s="0" t="n">
        <f aca="false">$B79/N$1</f>
        <v>0.00456521739130435</v>
      </c>
      <c r="O79" s="0" t="n">
        <f aca="false">$B79/O$1</f>
        <v>0.0042</v>
      </c>
      <c r="P79" s="0" t="n">
        <f aca="false">$B79/P$1</f>
        <v>0.00388888888888889</v>
      </c>
      <c r="Q79" s="0" t="n">
        <f aca="false">$B79/Q$1</f>
        <v>0.00362068965517241</v>
      </c>
      <c r="R79" s="0" t="n">
        <f aca="false">$B79/R$1</f>
        <v>0.00338709677419355</v>
      </c>
      <c r="S79" s="0" t="n">
        <f aca="false">$B79/S$1</f>
        <v>0.00318181818181818</v>
      </c>
      <c r="T79" s="0" t="n">
        <f aca="false">$B79/T$1</f>
        <v>0.003</v>
      </c>
      <c r="U79" s="0" t="n">
        <f aca="false">$B79/U$1</f>
        <v>0.00283783783783784</v>
      </c>
      <c r="V79" s="0" t="n">
        <f aca="false">$B79/V$1</f>
        <v>0.00269230769230769</v>
      </c>
      <c r="W79" s="0" t="n">
        <f aca="false">$B79/W$1</f>
        <v>0.0025609756097561</v>
      </c>
      <c r="X79" s="0" t="n">
        <f aca="false">$B79/X$1</f>
        <v>0.00244186046511628</v>
      </c>
      <c r="Y79" s="0" t="n">
        <f aca="false">$B79/Y$1</f>
        <v>0.00233333333333333</v>
      </c>
      <c r="Z79" s="0" t="n">
        <f aca="false">$B79/Z$1</f>
        <v>0.00223404255319149</v>
      </c>
      <c r="AA79" s="0" t="n">
        <f aca="false">$B79/AA$1</f>
        <v>0.00214285714285714</v>
      </c>
      <c r="AB79" s="0" t="n">
        <f aca="false">$B79/AB$1</f>
        <v>0.00205882352941176</v>
      </c>
      <c r="AC79" s="0" t="n">
        <f aca="false">$B79/AC$1</f>
        <v>0.0019811320754717</v>
      </c>
      <c r="AD79" s="0" t="n">
        <f aca="false">$B79/AD$1</f>
        <v>0.00190909090909091</v>
      </c>
      <c r="AE79" s="0" t="n">
        <f aca="false">$B79/AE$1</f>
        <v>0.00184210526315789</v>
      </c>
      <c r="AF79" s="0" t="n">
        <f aca="false">$B79/AF$1</f>
        <v>0.00177966101694915</v>
      </c>
      <c r="AG79" s="0" t="n">
        <f aca="false">$B79/AG$1</f>
        <v>0.00172131147540984</v>
      </c>
      <c r="AH79" s="0" t="n">
        <f aca="false">$B79/AH$1</f>
        <v>0.00166666666666667</v>
      </c>
      <c r="AI79" s="0" t="n">
        <f aca="false">$B79/AI$1</f>
        <v>0.00161538461538462</v>
      </c>
      <c r="AJ79" s="0" t="n">
        <f aca="false">$B79/AJ$1</f>
        <v>0.00156716417910448</v>
      </c>
      <c r="AK79" s="0" t="n">
        <f aca="false">$B79/AK$1</f>
        <v>0.00152173913043478</v>
      </c>
      <c r="AL79" s="0" t="n">
        <f aca="false">$B79/AL$1</f>
        <v>0.00147887323943662</v>
      </c>
      <c r="AM79" s="0" t="n">
        <f aca="false">$B79/AM$1</f>
        <v>0.00143835616438356</v>
      </c>
      <c r="AN79" s="0" t="n">
        <f aca="false">$B79/AN$1</f>
        <v>0.0014</v>
      </c>
      <c r="AO79" s="0" t="n">
        <f aca="false">$B79/AO$1</f>
        <v>0.00136363636363636</v>
      </c>
      <c r="AP79" s="0" t="n">
        <f aca="false">$B79/AP$1</f>
        <v>0.00132911392405063</v>
      </c>
      <c r="AQ79" s="0" t="n">
        <f aca="false">$B79/AQ$1</f>
        <v>0.0012962962962963</v>
      </c>
      <c r="AR79" s="0" t="n">
        <f aca="false">$B79/AR$1</f>
        <v>0.00126506024096386</v>
      </c>
      <c r="AS79" s="0" t="n">
        <f aca="false">$B79/AS$1</f>
        <v>0.00123529411764706</v>
      </c>
      <c r="AT79" s="0" t="n">
        <f aca="false">$B79/AT$1</f>
        <v>0.00120689655172414</v>
      </c>
      <c r="AU79" s="0" t="n">
        <f aca="false">$B79/AU$1</f>
        <v>0.00117977528089888</v>
      </c>
      <c r="AV79" s="0" t="n">
        <f aca="false">$B79/AV$1</f>
        <v>0.00115384615384615</v>
      </c>
      <c r="AW79" s="0" t="n">
        <f aca="false">$B79/AW$1</f>
        <v>0.00112903225806452</v>
      </c>
      <c r="AX79" s="0" t="n">
        <f aca="false">$B79/AX$1</f>
        <v>0.00110526315789474</v>
      </c>
      <c r="AY79" s="0" t="n">
        <f aca="false">$B79/AY$1</f>
        <v>0.00108247422680412</v>
      </c>
      <c r="AZ79" s="0" t="n">
        <f aca="false">$B79/AZ$1</f>
        <v>0.00106060606060606</v>
      </c>
      <c r="BA79" s="0" t="n">
        <f aca="false">$B79/BA$1</f>
        <v>0.00103960396039604</v>
      </c>
      <c r="BB79" s="0" t="n">
        <f aca="false">$B79/BB$1</f>
        <v>0.00101941747572816</v>
      </c>
      <c r="BC79" s="0" t="n">
        <f aca="false">$B79/BC$1</f>
        <v>0.001</v>
      </c>
      <c r="BD79" s="0" t="n">
        <f aca="false">$B79/BD$1</f>
        <v>0.000981308411214953</v>
      </c>
      <c r="BE79" s="0" t="n">
        <f aca="false">$B79/BE$1</f>
        <v>0.000963302752293578</v>
      </c>
      <c r="BF79" s="0" t="n">
        <f aca="false">$B79/BF$1</f>
        <v>0.000945945945945946</v>
      </c>
      <c r="BG79" s="0" t="n">
        <f aca="false">$B79/BG$1</f>
        <v>0.000929203539823009</v>
      </c>
      <c r="BH79" s="0" t="n">
        <f aca="false">$B79/BH$1</f>
        <v>0.00091304347826087</v>
      </c>
      <c r="BI79" s="0" t="n">
        <f aca="false">$B79/BI$1</f>
        <v>0.000897435897435897</v>
      </c>
      <c r="BJ79" s="0" t="n">
        <f aca="false">$B79/BJ$1</f>
        <v>0.000882352941176471</v>
      </c>
      <c r="BL79" s="0" t="n">
        <f aca="false">IF($B$75=1,COUNTIF(C79:BJ79,"&gt;="&amp;$C$75),0)</f>
        <v>14</v>
      </c>
      <c r="BM79" s="0" t="n">
        <f aca="false">IF($B$75=1,IF(OR(BS79&gt;=Settings!$B$5,Settings!$C$17&gt;0),MAX(BL79,Settings!$C$17),0),0)</f>
        <v>14</v>
      </c>
      <c r="BN79" s="0" t="n">
        <f aca="false">IF($B$75=1,IF(OR(BS79&gt;=Settings!$B$5,Settings!$C$17&gt;0),MAX(0,(2*MAX(BL79,Settings!$C$17)+1)*$C$75-BS79),MAX(0,Settings!$B$5-BS79)),"")</f>
        <v>0.00394594594594595</v>
      </c>
      <c r="BO79" s="0" t="n">
        <f aca="false">IF($B$75=1,IF(OR(BS79&gt;=Settings!$B$5,Settings!$C$17&gt;0),IF(BL79&lt;=Settings!$C$17,"Protected by electorates",IF(Settings!$C$17=0,MIN(BS79-(2*BL79-1)*$D$75,BS79-Settings!$B$5),BS79-(2*BL79-1)*$D$75)),""),"")</f>
        <v>0.00365217391304347</v>
      </c>
      <c r="BP79" s="0" t="n">
        <f aca="false">IF($B$75=1,IF(OR(BS79&gt;=Settings!$B$5,Settings!$C$17&gt;0),MAX(0,MIN(1,(BS79/$C$75-(2*MAX(BL79,Settings!$C$17)-1))/2)),MIN(1,BS79/Settings!$B$5)),"")</f>
        <v>0.474820143884891</v>
      </c>
      <c r="BQ79" s="0" t="n">
        <f aca="false">IF(AND($B$75=1,COUNTIF(C79:BJ79,$C$75)&gt;0),1,0)</f>
        <v>0</v>
      </c>
      <c r="BR79" s="0" t="n">
        <f aca="false">IF(AND($B$75=1,COUNTIF(C79:BJ79,$D$75)&gt;0),1,0)</f>
        <v>0</v>
      </c>
      <c r="BS79" s="0" t="n">
        <f aca="false">N(IF(Polls!K14="",Polls!K37,Polls!K14))</f>
        <v>0.105</v>
      </c>
      <c r="BT79" s="0" t="str">
        <f aca="false">IF(OR(BS79&gt;=Settings!$B$5,Settings!$C$17&gt;0),"Next seat","Threshold")</f>
        <v>Next seat</v>
      </c>
    </row>
    <row r="80" customFormat="false" ht="15" hidden="false" customHeight="false" outlineLevel="0" collapsed="false">
      <c r="A80" s="0" t="s">
        <v>48</v>
      </c>
      <c r="B80" s="0" t="n">
        <f aca="false">IF(OR(BS80&gt;=Settings!$B$5,Settings!$C$18&gt;0),BS80,0)</f>
        <v>0.084</v>
      </c>
      <c r="C80" s="0" t="n">
        <f aca="false">$B80/C$1</f>
        <v>0.084</v>
      </c>
      <c r="D80" s="0" t="n">
        <f aca="false">$B80/D$1</f>
        <v>0.028</v>
      </c>
      <c r="E80" s="0" t="n">
        <f aca="false">$B80/E$1</f>
        <v>0.0168</v>
      </c>
      <c r="F80" s="0" t="n">
        <f aca="false">$B80/F$1</f>
        <v>0.012</v>
      </c>
      <c r="G80" s="0" t="n">
        <f aca="false">$B80/G$1</f>
        <v>0.00933333333333333</v>
      </c>
      <c r="H80" s="0" t="n">
        <f aca="false">$B80/H$1</f>
        <v>0.00763636363636364</v>
      </c>
      <c r="I80" s="0" t="n">
        <f aca="false">$B80/I$1</f>
        <v>0.00646153846153846</v>
      </c>
      <c r="J80" s="0" t="n">
        <f aca="false">$B80/J$1</f>
        <v>0.0056</v>
      </c>
      <c r="K80" s="0" t="n">
        <f aca="false">$B80/K$1</f>
        <v>0.00494117647058824</v>
      </c>
      <c r="L80" s="0" t="n">
        <f aca="false">$B80/L$1</f>
        <v>0.00442105263157895</v>
      </c>
      <c r="M80" s="0" t="n">
        <f aca="false">$B80/M$1</f>
        <v>0.004</v>
      </c>
      <c r="N80" s="0" t="n">
        <f aca="false">$B80/N$1</f>
        <v>0.00365217391304348</v>
      </c>
      <c r="O80" s="0" t="n">
        <f aca="false">$B80/O$1</f>
        <v>0.00336</v>
      </c>
      <c r="P80" s="0" t="n">
        <f aca="false">$B80/P$1</f>
        <v>0.00311111111111111</v>
      </c>
      <c r="Q80" s="0" t="n">
        <f aca="false">$B80/Q$1</f>
        <v>0.00289655172413793</v>
      </c>
      <c r="R80" s="0" t="n">
        <f aca="false">$B80/R$1</f>
        <v>0.00270967741935484</v>
      </c>
      <c r="S80" s="0" t="n">
        <f aca="false">$B80/S$1</f>
        <v>0.00254545454545455</v>
      </c>
      <c r="T80" s="0" t="n">
        <f aca="false">$B80/T$1</f>
        <v>0.0024</v>
      </c>
      <c r="U80" s="0" t="n">
        <f aca="false">$B80/U$1</f>
        <v>0.00227027027027027</v>
      </c>
      <c r="V80" s="0" t="n">
        <f aca="false">$B80/V$1</f>
        <v>0.00215384615384615</v>
      </c>
      <c r="W80" s="0" t="n">
        <f aca="false">$B80/W$1</f>
        <v>0.00204878048780488</v>
      </c>
      <c r="X80" s="0" t="n">
        <f aca="false">$B80/X$1</f>
        <v>0.00195348837209302</v>
      </c>
      <c r="Y80" s="0" t="n">
        <f aca="false">$B80/Y$1</f>
        <v>0.00186666666666667</v>
      </c>
      <c r="Z80" s="0" t="n">
        <f aca="false">$B80/Z$1</f>
        <v>0.00178723404255319</v>
      </c>
      <c r="AA80" s="0" t="n">
        <f aca="false">$B80/AA$1</f>
        <v>0.00171428571428571</v>
      </c>
      <c r="AB80" s="0" t="n">
        <f aca="false">$B80/AB$1</f>
        <v>0.00164705882352941</v>
      </c>
      <c r="AC80" s="0" t="n">
        <f aca="false">$B80/AC$1</f>
        <v>0.00158490566037736</v>
      </c>
      <c r="AD80" s="0" t="n">
        <f aca="false">$B80/AD$1</f>
        <v>0.00152727272727273</v>
      </c>
      <c r="AE80" s="0" t="n">
        <f aca="false">$B80/AE$1</f>
        <v>0.00147368421052632</v>
      </c>
      <c r="AF80" s="0" t="n">
        <f aca="false">$B80/AF$1</f>
        <v>0.00142372881355932</v>
      </c>
      <c r="AG80" s="0" t="n">
        <f aca="false">$B80/AG$1</f>
        <v>0.00137704918032787</v>
      </c>
      <c r="AH80" s="0" t="n">
        <f aca="false">$B80/AH$1</f>
        <v>0.00133333333333333</v>
      </c>
      <c r="AI80" s="0" t="n">
        <f aca="false">$B80/AI$1</f>
        <v>0.00129230769230769</v>
      </c>
      <c r="AJ80" s="0" t="n">
        <f aca="false">$B80/AJ$1</f>
        <v>0.00125373134328358</v>
      </c>
      <c r="AK80" s="0" t="n">
        <f aca="false">$B80/AK$1</f>
        <v>0.00121739130434783</v>
      </c>
      <c r="AL80" s="0" t="n">
        <f aca="false">$B80/AL$1</f>
        <v>0.0011830985915493</v>
      </c>
      <c r="AM80" s="0" t="n">
        <f aca="false">$B80/AM$1</f>
        <v>0.00115068493150685</v>
      </c>
      <c r="AN80" s="0" t="n">
        <f aca="false">$B80/AN$1</f>
        <v>0.00112</v>
      </c>
      <c r="AO80" s="0" t="n">
        <f aca="false">$B80/AO$1</f>
        <v>0.00109090909090909</v>
      </c>
      <c r="AP80" s="0" t="n">
        <f aca="false">$B80/AP$1</f>
        <v>0.00106329113924051</v>
      </c>
      <c r="AQ80" s="0" t="n">
        <f aca="false">$B80/AQ$1</f>
        <v>0.00103703703703704</v>
      </c>
      <c r="AR80" s="0" t="n">
        <f aca="false">$B80/AR$1</f>
        <v>0.00101204819277108</v>
      </c>
      <c r="AS80" s="0" t="n">
        <f aca="false">$B80/AS$1</f>
        <v>0.000988235294117647</v>
      </c>
      <c r="AT80" s="0" t="n">
        <f aca="false">$B80/AT$1</f>
        <v>0.00096551724137931</v>
      </c>
      <c r="AU80" s="0" t="n">
        <f aca="false">$B80/AU$1</f>
        <v>0.000943820224719101</v>
      </c>
      <c r="AV80" s="0" t="n">
        <f aca="false">$B80/AV$1</f>
        <v>0.000923076923076923</v>
      </c>
      <c r="AW80" s="0" t="n">
        <f aca="false">$B80/AW$1</f>
        <v>0.000903225806451613</v>
      </c>
      <c r="AX80" s="0" t="n">
        <f aca="false">$B80/AX$1</f>
        <v>0.00088421052631579</v>
      </c>
      <c r="AY80" s="0" t="n">
        <f aca="false">$B80/AY$1</f>
        <v>0.000865979381443299</v>
      </c>
      <c r="AZ80" s="0" t="n">
        <f aca="false">$B80/AZ$1</f>
        <v>0.000848484848484849</v>
      </c>
      <c r="BA80" s="0" t="n">
        <f aca="false">$B80/BA$1</f>
        <v>0.000831683168316832</v>
      </c>
      <c r="BB80" s="0" t="n">
        <f aca="false">$B80/BB$1</f>
        <v>0.000815533980582524</v>
      </c>
      <c r="BC80" s="0" t="n">
        <f aca="false">$B80/BC$1</f>
        <v>0.0008</v>
      </c>
      <c r="BD80" s="0" t="n">
        <f aca="false">$B80/BD$1</f>
        <v>0.000785046728971963</v>
      </c>
      <c r="BE80" s="0" t="n">
        <f aca="false">$B80/BE$1</f>
        <v>0.000770642201834862</v>
      </c>
      <c r="BF80" s="0" t="n">
        <f aca="false">$B80/BF$1</f>
        <v>0.000756756756756757</v>
      </c>
      <c r="BG80" s="0" t="n">
        <f aca="false">$B80/BG$1</f>
        <v>0.000743362831858407</v>
      </c>
      <c r="BH80" s="0" t="n">
        <f aca="false">$B80/BH$1</f>
        <v>0.000730434782608696</v>
      </c>
      <c r="BI80" s="0" t="n">
        <f aca="false">$B80/BI$1</f>
        <v>0.000717948717948718</v>
      </c>
      <c r="BJ80" s="0" t="n">
        <f aca="false">$B80/BJ$1</f>
        <v>0.000705882352941177</v>
      </c>
      <c r="BL80" s="0" t="n">
        <f aca="false">IF($B$75=1,COUNTIF(C80:BJ80,"&gt;="&amp;$C$75),0)</f>
        <v>11</v>
      </c>
      <c r="BM80" s="0" t="n">
        <f aca="false">IF($B$75=1,IF(OR(BS80&gt;=Settings!$B$5,Settings!$C$18&gt;0),MAX(BL80,Settings!$C$18),0),0)</f>
        <v>11</v>
      </c>
      <c r="BN80" s="0" t="n">
        <f aca="false">IF($B$75=1,IF(OR(BS80&gt;=Settings!$B$5,Settings!$C$18&gt;0),MAX(0,(2*MAX(BL80,Settings!$C$18)+1)*$C$75-BS80),MAX(0,Settings!$B$5-BS80)),"")</f>
        <v>0.0024054054054054</v>
      </c>
      <c r="BO80" s="0" t="n">
        <f aca="false">IF($B$75=1,IF(OR(BS80&gt;=Settings!$B$5,Settings!$C$18&gt;0),IF(BL80&lt;=Settings!$C$18,"Protected by electorates",IF(Settings!$C$18=0,MIN(BS80-(2*BL80-1)*$D$75,BS80-Settings!$B$5),BS80-(2*BL80-1)*$D$75)),""),"")</f>
        <v>0.00517391304347827</v>
      </c>
      <c r="BP80" s="0" t="n">
        <f aca="false">IF($B$75=1,IF(OR(BS80&gt;=Settings!$B$5,Settings!$C$18&gt;0),MAX(0,MIN(1,(BS80/$C$75-(2*MAX(BL80,Settings!$C$18)-1))/2)),MIN(1,BS80/Settings!$B$5)),"")</f>
        <v>0.679856115107913</v>
      </c>
      <c r="BQ80" s="0" t="n">
        <f aca="false">IF(AND($B$75=1,COUNTIF(C80:BJ80,$C$75)&gt;0),1,0)</f>
        <v>0</v>
      </c>
      <c r="BR80" s="0" t="n">
        <f aca="false">IF(AND($B$75=1,COUNTIF(C80:BJ80,$D$75)&gt;0),1,0)</f>
        <v>0</v>
      </c>
      <c r="BS80" s="0" t="n">
        <f aca="false">N(IF(Polls!L14="",Polls!L37,Polls!L14))</f>
        <v>0.084</v>
      </c>
      <c r="BT80" s="0" t="str">
        <f aca="false">IF(OR(BS80&gt;=Settings!$B$5,Settings!$C$18&gt;0),"Next seat","Threshold")</f>
        <v>Next seat</v>
      </c>
    </row>
    <row r="81" customFormat="false" ht="15" hidden="false" customHeight="false" outlineLevel="0" collapsed="false">
      <c r="A81" s="0" t="s">
        <v>50</v>
      </c>
      <c r="B81" s="0" t="n">
        <f aca="false">IF(OR(BS81&gt;=Settings!$B$5,Settings!$C$19&gt;0),BS81,0)</f>
        <v>0.02</v>
      </c>
      <c r="C81" s="0" t="n">
        <f aca="false">$B81/C$1</f>
        <v>0.02</v>
      </c>
      <c r="D81" s="0" t="n">
        <f aca="false">$B81/D$1</f>
        <v>0.00666666666666667</v>
      </c>
      <c r="E81" s="0" t="n">
        <f aca="false">$B81/E$1</f>
        <v>0.004</v>
      </c>
      <c r="F81" s="0" t="n">
        <f aca="false">$B81/F$1</f>
        <v>0.00285714285714286</v>
      </c>
      <c r="G81" s="0" t="n">
        <f aca="false">$B81/G$1</f>
        <v>0.00222222222222222</v>
      </c>
      <c r="H81" s="0" t="n">
        <f aca="false">$B81/H$1</f>
        <v>0.00181818181818182</v>
      </c>
      <c r="I81" s="0" t="n">
        <f aca="false">$B81/I$1</f>
        <v>0.00153846153846154</v>
      </c>
      <c r="J81" s="0" t="n">
        <f aca="false">$B81/J$1</f>
        <v>0.00133333333333333</v>
      </c>
      <c r="K81" s="0" t="n">
        <f aca="false">$B81/K$1</f>
        <v>0.00117647058823529</v>
      </c>
      <c r="L81" s="0" t="n">
        <f aca="false">$B81/L$1</f>
        <v>0.00105263157894737</v>
      </c>
      <c r="M81" s="0" t="n">
        <f aca="false">$B81/M$1</f>
        <v>0.000952380952380952</v>
      </c>
      <c r="N81" s="0" t="n">
        <f aca="false">$B81/N$1</f>
        <v>0.000869565217391304</v>
      </c>
      <c r="O81" s="0" t="n">
        <f aca="false">$B81/O$1</f>
        <v>0.0008</v>
      </c>
      <c r="P81" s="0" t="n">
        <f aca="false">$B81/P$1</f>
        <v>0.000740740740740741</v>
      </c>
      <c r="Q81" s="0" t="n">
        <f aca="false">$B81/Q$1</f>
        <v>0.000689655172413793</v>
      </c>
      <c r="R81" s="0" t="n">
        <f aca="false">$B81/R$1</f>
        <v>0.000645161290322581</v>
      </c>
      <c r="S81" s="0" t="n">
        <f aca="false">$B81/S$1</f>
        <v>0.000606060606060606</v>
      </c>
      <c r="T81" s="0" t="n">
        <f aca="false">$B81/T$1</f>
        <v>0.000571428571428572</v>
      </c>
      <c r="U81" s="0" t="n">
        <f aca="false">$B81/U$1</f>
        <v>0.000540540540540541</v>
      </c>
      <c r="V81" s="0" t="n">
        <f aca="false">$B81/V$1</f>
        <v>0.000512820512820513</v>
      </c>
      <c r="W81" s="0" t="n">
        <f aca="false">$B81/W$1</f>
        <v>0.000487804878048781</v>
      </c>
      <c r="X81" s="0" t="n">
        <f aca="false">$B81/X$1</f>
        <v>0.000465116279069767</v>
      </c>
      <c r="Y81" s="0" t="n">
        <f aca="false">$B81/Y$1</f>
        <v>0.000444444444444444</v>
      </c>
      <c r="Z81" s="0" t="n">
        <f aca="false">$B81/Z$1</f>
        <v>0.000425531914893617</v>
      </c>
      <c r="AA81" s="0" t="n">
        <f aca="false">$B81/AA$1</f>
        <v>0.000408163265306122</v>
      </c>
      <c r="AB81" s="0" t="n">
        <f aca="false">$B81/AB$1</f>
        <v>0.000392156862745098</v>
      </c>
      <c r="AC81" s="0" t="n">
        <f aca="false">$B81/AC$1</f>
        <v>0.000377358490566038</v>
      </c>
      <c r="AD81" s="0" t="n">
        <f aca="false">$B81/AD$1</f>
        <v>0.000363636363636364</v>
      </c>
      <c r="AE81" s="0" t="n">
        <f aca="false">$B81/AE$1</f>
        <v>0.000350877192982456</v>
      </c>
      <c r="AF81" s="0" t="n">
        <f aca="false">$B81/AF$1</f>
        <v>0.000338983050847458</v>
      </c>
      <c r="AG81" s="0" t="n">
        <f aca="false">$B81/AG$1</f>
        <v>0.000327868852459016</v>
      </c>
      <c r="AH81" s="0" t="n">
        <f aca="false">$B81/AH$1</f>
        <v>0.000317460317460317</v>
      </c>
      <c r="AI81" s="0" t="n">
        <f aca="false">$B81/AI$1</f>
        <v>0.000307692307692308</v>
      </c>
      <c r="AJ81" s="0" t="n">
        <f aca="false">$B81/AJ$1</f>
        <v>0.000298507462686567</v>
      </c>
      <c r="AK81" s="0" t="n">
        <f aca="false">$B81/AK$1</f>
        <v>0.000289855072463768</v>
      </c>
      <c r="AL81" s="0" t="n">
        <f aca="false">$B81/AL$1</f>
        <v>0.00028169014084507</v>
      </c>
      <c r="AM81" s="0" t="n">
        <f aca="false">$B81/AM$1</f>
        <v>0.000273972602739726</v>
      </c>
      <c r="AN81" s="0" t="n">
        <f aca="false">$B81/AN$1</f>
        <v>0.000266666666666667</v>
      </c>
      <c r="AO81" s="0" t="n">
        <f aca="false">$B81/AO$1</f>
        <v>0.00025974025974026</v>
      </c>
      <c r="AP81" s="0" t="n">
        <f aca="false">$B81/AP$1</f>
        <v>0.000253164556962025</v>
      </c>
      <c r="AQ81" s="0" t="n">
        <f aca="false">$B81/AQ$1</f>
        <v>0.000246913580246914</v>
      </c>
      <c r="AR81" s="0" t="n">
        <f aca="false">$B81/AR$1</f>
        <v>0.000240963855421687</v>
      </c>
      <c r="AS81" s="0" t="n">
        <f aca="false">$B81/AS$1</f>
        <v>0.000235294117647059</v>
      </c>
      <c r="AT81" s="0" t="n">
        <f aca="false">$B81/AT$1</f>
        <v>0.000229885057471264</v>
      </c>
      <c r="AU81" s="0" t="n">
        <f aca="false">$B81/AU$1</f>
        <v>0.000224719101123596</v>
      </c>
      <c r="AV81" s="0" t="n">
        <f aca="false">$B81/AV$1</f>
        <v>0.00021978021978022</v>
      </c>
      <c r="AW81" s="0" t="n">
        <f aca="false">$B81/AW$1</f>
        <v>0.00021505376344086</v>
      </c>
      <c r="AX81" s="0" t="n">
        <f aca="false">$B81/AX$1</f>
        <v>0.000210526315789474</v>
      </c>
      <c r="AY81" s="0" t="n">
        <f aca="false">$B81/AY$1</f>
        <v>0.000206185567010309</v>
      </c>
      <c r="AZ81" s="0" t="n">
        <f aca="false">$B81/AZ$1</f>
        <v>0.000202020202020202</v>
      </c>
      <c r="BA81" s="0" t="n">
        <f aca="false">$B81/BA$1</f>
        <v>0.000198019801980198</v>
      </c>
      <c r="BB81" s="0" t="n">
        <f aca="false">$B81/BB$1</f>
        <v>0.000194174757281553</v>
      </c>
      <c r="BC81" s="0" t="n">
        <f aca="false">$B81/BC$1</f>
        <v>0.00019047619047619</v>
      </c>
      <c r="BD81" s="0" t="n">
        <f aca="false">$B81/BD$1</f>
        <v>0.000186915887850467</v>
      </c>
      <c r="BE81" s="0" t="n">
        <f aca="false">$B81/BE$1</f>
        <v>0.00018348623853211</v>
      </c>
      <c r="BF81" s="0" t="n">
        <f aca="false">$B81/BF$1</f>
        <v>0.00018018018018018</v>
      </c>
      <c r="BG81" s="0" t="n">
        <f aca="false">$B81/BG$1</f>
        <v>0.000176991150442478</v>
      </c>
      <c r="BH81" s="0" t="n">
        <f aca="false">$B81/BH$1</f>
        <v>0.000173913043478261</v>
      </c>
      <c r="BI81" s="0" t="n">
        <f aca="false">$B81/BI$1</f>
        <v>0.000170940170940171</v>
      </c>
      <c r="BJ81" s="0" t="n">
        <f aca="false">$B81/BJ$1</f>
        <v>0.000168067226890756</v>
      </c>
      <c r="BL81" s="0" t="n">
        <f aca="false">IF($B$75=1,COUNTIF(C81:BJ81,"&gt;="&amp;$C$75),0)</f>
        <v>3</v>
      </c>
      <c r="BM81" s="0" t="n">
        <f aca="false">IF($B$75=1,IF(OR(BS81&gt;=Settings!$B$5,Settings!$C$19&gt;0),MAX(BL81,Settings!$C$19),0),0)</f>
        <v>4</v>
      </c>
      <c r="BN81" s="0" t="n">
        <f aca="false">IF($B$75=1,IF(OR(BS81&gt;=Settings!$B$5,Settings!$C$19&gt;0),MAX(0,(2*MAX(BL81,Settings!$C$19)+1)*$C$75-BS81),MAX(0,Settings!$B$5-BS81)),"")</f>
        <v>0.0138108108108108</v>
      </c>
      <c r="BO81" s="0" t="str">
        <f aca="false">IF($B$75=1,IF(OR(BS81&gt;=Settings!$B$5,Settings!$C$19&gt;0),IF(BL81&lt;=Settings!$C$19,"Protected by electorates",IF(Settings!$C$19=0,MIN(BS81-(2*BL81-1)*$D$75,BS81-Settings!$B$5),BS81-(2*BL81-1)*$D$75)),""),"")</f>
        <v>Protected by electorates</v>
      </c>
      <c r="BP81" s="0" t="n">
        <f aca="false">IF($B$75=1,IF(OR(BS81&gt;=Settings!$B$5,Settings!$C$19&gt;0),MAX(0,MIN(1,(BS81/$C$75-(2*MAX(BL81,Settings!$C$19)-1))/2)),MIN(1,BS81/Settings!$B$5)),"")</f>
        <v>0</v>
      </c>
      <c r="BQ81" s="0" t="n">
        <f aca="false">IF(AND($B$75=1,COUNTIF(C81:BJ81,$C$75)&gt;0),1,0)</f>
        <v>0</v>
      </c>
      <c r="BR81" s="0" t="n">
        <f aca="false">IF(AND($B$75=1,COUNTIF(C81:BJ81,$D$75)&gt;0),1,0)</f>
        <v>0</v>
      </c>
      <c r="BS81" s="0" t="n">
        <f aca="false">N(IF(Polls!M14="",Polls!M37,Polls!M14))</f>
        <v>0.02</v>
      </c>
      <c r="BT81" s="0" t="str">
        <f aca="false">IF(OR(BS81&gt;=Settings!$B$5,Settings!$C$19&gt;0),"Next seat","Threshold")</f>
        <v>Next seat</v>
      </c>
    </row>
    <row r="82" customFormat="false" ht="15" hidden="false" customHeight="false" outlineLevel="0" collapsed="false">
      <c r="A82" s="0" t="s">
        <v>52</v>
      </c>
      <c r="B82" s="0" t="n">
        <f aca="false">IF(OR(BS82&gt;=Settings!$B$5,Settings!$C$20&gt;0),BS82,0)</f>
        <v>0</v>
      </c>
      <c r="C82" s="0" t="n">
        <f aca="false">$B82/C$1</f>
        <v>0</v>
      </c>
      <c r="D82" s="0" t="n">
        <f aca="false">$B82/D$1</f>
        <v>0</v>
      </c>
      <c r="E82" s="0" t="n">
        <f aca="false">$B82/E$1</f>
        <v>0</v>
      </c>
      <c r="F82" s="0" t="n">
        <f aca="false">$B82/F$1</f>
        <v>0</v>
      </c>
      <c r="G82" s="0" t="n">
        <f aca="false">$B82/G$1</f>
        <v>0</v>
      </c>
      <c r="H82" s="0" t="n">
        <f aca="false">$B82/H$1</f>
        <v>0</v>
      </c>
      <c r="I82" s="0" t="n">
        <f aca="false">$B82/I$1</f>
        <v>0</v>
      </c>
      <c r="J82" s="0" t="n">
        <f aca="false">$B82/J$1</f>
        <v>0</v>
      </c>
      <c r="K82" s="0" t="n">
        <f aca="false">$B82/K$1</f>
        <v>0</v>
      </c>
      <c r="L82" s="0" t="n">
        <f aca="false">$B82/L$1</f>
        <v>0</v>
      </c>
      <c r="M82" s="0" t="n">
        <f aca="false">$B82/M$1</f>
        <v>0</v>
      </c>
      <c r="N82" s="0" t="n">
        <f aca="false">$B82/N$1</f>
        <v>0</v>
      </c>
      <c r="O82" s="0" t="n">
        <f aca="false">$B82/O$1</f>
        <v>0</v>
      </c>
      <c r="P82" s="0" t="n">
        <f aca="false">$B82/P$1</f>
        <v>0</v>
      </c>
      <c r="Q82" s="0" t="n">
        <f aca="false">$B82/Q$1</f>
        <v>0</v>
      </c>
      <c r="R82" s="0" t="n">
        <f aca="false">$B82/R$1</f>
        <v>0</v>
      </c>
      <c r="S82" s="0" t="n">
        <f aca="false">$B82/S$1</f>
        <v>0</v>
      </c>
      <c r="T82" s="0" t="n">
        <f aca="false">$B82/T$1</f>
        <v>0</v>
      </c>
      <c r="U82" s="0" t="n">
        <f aca="false">$B82/U$1</f>
        <v>0</v>
      </c>
      <c r="V82" s="0" t="n">
        <f aca="false">$B82/V$1</f>
        <v>0</v>
      </c>
      <c r="W82" s="0" t="n">
        <f aca="false">$B82/W$1</f>
        <v>0</v>
      </c>
      <c r="X82" s="0" t="n">
        <f aca="false">$B82/X$1</f>
        <v>0</v>
      </c>
      <c r="Y82" s="0" t="n">
        <f aca="false">$B82/Y$1</f>
        <v>0</v>
      </c>
      <c r="Z82" s="0" t="n">
        <f aca="false">$B82/Z$1</f>
        <v>0</v>
      </c>
      <c r="AA82" s="0" t="n">
        <f aca="false">$B82/AA$1</f>
        <v>0</v>
      </c>
      <c r="AB82" s="0" t="n">
        <f aca="false">$B82/AB$1</f>
        <v>0</v>
      </c>
      <c r="AC82" s="0" t="n">
        <f aca="false">$B82/AC$1</f>
        <v>0</v>
      </c>
      <c r="AD82" s="0" t="n">
        <f aca="false">$B82/AD$1</f>
        <v>0</v>
      </c>
      <c r="AE82" s="0" t="n">
        <f aca="false">$B82/AE$1</f>
        <v>0</v>
      </c>
      <c r="AF82" s="0" t="n">
        <f aca="false">$B82/AF$1</f>
        <v>0</v>
      </c>
      <c r="AG82" s="0" t="n">
        <f aca="false">$B82/AG$1</f>
        <v>0</v>
      </c>
      <c r="AH82" s="0" t="n">
        <f aca="false">$B82/AH$1</f>
        <v>0</v>
      </c>
      <c r="AI82" s="0" t="n">
        <f aca="false">$B82/AI$1</f>
        <v>0</v>
      </c>
      <c r="AJ82" s="0" t="n">
        <f aca="false">$B82/AJ$1</f>
        <v>0</v>
      </c>
      <c r="AK82" s="0" t="n">
        <f aca="false">$B82/AK$1</f>
        <v>0</v>
      </c>
      <c r="AL82" s="0" t="n">
        <f aca="false">$B82/AL$1</f>
        <v>0</v>
      </c>
      <c r="AM82" s="0" t="n">
        <f aca="false">$B82/AM$1</f>
        <v>0</v>
      </c>
      <c r="AN82" s="0" t="n">
        <f aca="false">$B82/AN$1</f>
        <v>0</v>
      </c>
      <c r="AO82" s="0" t="n">
        <f aca="false">$B82/AO$1</f>
        <v>0</v>
      </c>
      <c r="AP82" s="0" t="n">
        <f aca="false">$B82/AP$1</f>
        <v>0</v>
      </c>
      <c r="AQ82" s="0" t="n">
        <f aca="false">$B82/AQ$1</f>
        <v>0</v>
      </c>
      <c r="AR82" s="0" t="n">
        <f aca="false">$B82/AR$1</f>
        <v>0</v>
      </c>
      <c r="AS82" s="0" t="n">
        <f aca="false">$B82/AS$1</f>
        <v>0</v>
      </c>
      <c r="AT82" s="0" t="n">
        <f aca="false">$B82/AT$1</f>
        <v>0</v>
      </c>
      <c r="AU82" s="0" t="n">
        <f aca="false">$B82/AU$1</f>
        <v>0</v>
      </c>
      <c r="AV82" s="0" t="n">
        <f aca="false">$B82/AV$1</f>
        <v>0</v>
      </c>
      <c r="AW82" s="0" t="n">
        <f aca="false">$B82/AW$1</f>
        <v>0</v>
      </c>
      <c r="AX82" s="0" t="n">
        <f aca="false">$B82/AX$1</f>
        <v>0</v>
      </c>
      <c r="AY82" s="0" t="n">
        <f aca="false">$B82/AY$1</f>
        <v>0</v>
      </c>
      <c r="AZ82" s="0" t="n">
        <f aca="false">$B82/AZ$1</f>
        <v>0</v>
      </c>
      <c r="BA82" s="0" t="n">
        <f aca="false">$B82/BA$1</f>
        <v>0</v>
      </c>
      <c r="BB82" s="0" t="n">
        <f aca="false">$B82/BB$1</f>
        <v>0</v>
      </c>
      <c r="BC82" s="0" t="n">
        <f aca="false">$B82/BC$1</f>
        <v>0</v>
      </c>
      <c r="BD82" s="0" t="n">
        <f aca="false">$B82/BD$1</f>
        <v>0</v>
      </c>
      <c r="BE82" s="0" t="n">
        <f aca="false">$B82/BE$1</f>
        <v>0</v>
      </c>
      <c r="BF82" s="0" t="n">
        <f aca="false">$B82/BF$1</f>
        <v>0</v>
      </c>
      <c r="BG82" s="0" t="n">
        <f aca="false">$B82/BG$1</f>
        <v>0</v>
      </c>
      <c r="BH82" s="0" t="n">
        <f aca="false">$B82/BH$1</f>
        <v>0</v>
      </c>
      <c r="BI82" s="0" t="n">
        <f aca="false">$B82/BI$1</f>
        <v>0</v>
      </c>
      <c r="BJ82" s="0" t="n">
        <f aca="false">$B82/BJ$1</f>
        <v>0</v>
      </c>
      <c r="BL82" s="0" t="n">
        <f aca="false">IF($B$75=1,COUNTIF(C82:BJ82,"&gt;="&amp;$C$75),0)</f>
        <v>0</v>
      </c>
      <c r="BM82" s="0" t="n">
        <f aca="false">IF($B$75=1,IF(OR(BS82&gt;=Settings!$B$5,Settings!$C$20&gt;0),MAX(BL82,Settings!$C$20),0),0)</f>
        <v>0</v>
      </c>
      <c r="BN82" s="0" t="n">
        <f aca="false">IF($B$75=1,IF(OR(BS82&gt;=Settings!$B$5,Settings!$C$20&gt;0),MAX(0,(2*MAX(BL82,Settings!$C$20)+1)*$C$75-BS82),MAX(0,Settings!$B$5-BS82)),"")</f>
        <v>0.005</v>
      </c>
      <c r="BO82" s="0" t="str">
        <f aca="false">IF($B$75=1,IF(OR(BS82&gt;=Settings!$B$5,Settings!$C$20&gt;0),IF(BL82&lt;=Settings!$C$20,"Protected by electorates",IF(Settings!$C$20=0,MIN(BS82-(2*BL82-1)*$D$75,BS82-Settings!$B$5),BS82-(2*BL82-1)*$D$75)),""),"")</f>
        <v/>
      </c>
      <c r="BP82" s="0" t="n">
        <f aca="false">IF($B$75=1,IF(OR(BS82&gt;=Settings!$B$5,Settings!$C$20&gt;0),MAX(0,MIN(1,(BS82/$C$75-(2*MAX(BL82,Settings!$C$20)-1))/2)),MIN(1,BS82/Settings!$B$5)),"")</f>
        <v>0.9</v>
      </c>
      <c r="BQ82" s="0" t="n">
        <f aca="false">IF(AND($B$75=1,COUNTIF(C82:BJ82,$C$75)&gt;0),1,0)</f>
        <v>0</v>
      </c>
      <c r="BR82" s="0" t="n">
        <f aca="false">IF(AND($B$75=1,COUNTIF(C82:BJ82,$D$75)&gt;0),1,0)</f>
        <v>0</v>
      </c>
      <c r="BS82" s="0" t="n">
        <f aca="false">N(IF(Polls!N14="",Polls!N37,Polls!N14))</f>
        <v>0.045</v>
      </c>
      <c r="BT82" s="0" t="str">
        <f aca="false">IF(OR(BS82&gt;=Settings!$B$5,Settings!$C$20&gt;0),"Next seat","Threshold")</f>
        <v>Threshold</v>
      </c>
    </row>
    <row r="84" customFormat="false" ht="15" hidden="false" customHeight="false" outlineLevel="0" collapsed="false">
      <c r="A84" s="41" t="str">
        <f aca="false">Polls!A15</f>
        <v>Roy Morgan Aug</v>
      </c>
      <c r="B84" s="17" t="n">
        <f aca="false">IF(SUM(BS85:BS91)&gt;0,1,0)</f>
        <v>1</v>
      </c>
      <c r="C84" s="17" t="n">
        <f aca="false">IF(B84=1,LARGE(C85:BJ91,Settings!$B$4),0)</f>
        <v>0.00418918918918919</v>
      </c>
      <c r="D84" s="17" t="n">
        <f aca="false">IF(B84=1,LARGE(C85:BJ91,Settings!$B$4+1),0)</f>
        <v>0.00413333333333333</v>
      </c>
      <c r="E84" s="0" t="str">
        <f aca="false">IF(B84=1,IFERROR(INDEX(A85:A91,MATCH(1,BQ85:BQ91,0)),""),"")</f>
        <v>GRN</v>
      </c>
      <c r="F84" s="0" t="str">
        <f aca="false">IF(B84=1,IFERROR(INDEX(A85:A91,MATCH(1,BR85:BR91,0)),""),"")</f>
        <v>NAT</v>
      </c>
      <c r="G84" s="17" t="n">
        <f aca="false">IF(B84=1,SUM(BM85:BM91)+Settings!$B$10,"")</f>
        <v>122</v>
      </c>
    </row>
    <row r="85" customFormat="false" ht="15" hidden="false" customHeight="false" outlineLevel="0" collapsed="false">
      <c r="A85" s="0" t="s">
        <v>41</v>
      </c>
      <c r="B85" s="0" t="n">
        <f aca="false">IF(OR(BS85&gt;=Settings!$B$5,Settings!$C$14&gt;0),BS85,0)</f>
        <v>0.31</v>
      </c>
      <c r="C85" s="0" t="n">
        <f aca="false">$B85/C$1</f>
        <v>0.31</v>
      </c>
      <c r="D85" s="0" t="n">
        <f aca="false">$B85/D$1</f>
        <v>0.103333333333333</v>
      </c>
      <c r="E85" s="0" t="n">
        <f aca="false">$B85/E$1</f>
        <v>0.062</v>
      </c>
      <c r="F85" s="0" t="n">
        <f aca="false">$B85/F$1</f>
        <v>0.0442857142857143</v>
      </c>
      <c r="G85" s="0" t="n">
        <f aca="false">$B85/G$1</f>
        <v>0.0344444444444444</v>
      </c>
      <c r="H85" s="0" t="n">
        <f aca="false">$B85/H$1</f>
        <v>0.0281818181818182</v>
      </c>
      <c r="I85" s="0" t="n">
        <f aca="false">$B85/I$1</f>
        <v>0.0238461538461538</v>
      </c>
      <c r="J85" s="0" t="n">
        <f aca="false">$B85/J$1</f>
        <v>0.0206666666666667</v>
      </c>
      <c r="K85" s="0" t="n">
        <f aca="false">$B85/K$1</f>
        <v>0.0182352941176471</v>
      </c>
      <c r="L85" s="0" t="n">
        <f aca="false">$B85/L$1</f>
        <v>0.0163157894736842</v>
      </c>
      <c r="M85" s="0" t="n">
        <f aca="false">$B85/M$1</f>
        <v>0.0147619047619048</v>
      </c>
      <c r="N85" s="0" t="n">
        <f aca="false">$B85/N$1</f>
        <v>0.0134782608695652</v>
      </c>
      <c r="O85" s="0" t="n">
        <f aca="false">$B85/O$1</f>
        <v>0.0124</v>
      </c>
      <c r="P85" s="0" t="n">
        <f aca="false">$B85/P$1</f>
        <v>0.0114814814814815</v>
      </c>
      <c r="Q85" s="0" t="n">
        <f aca="false">$B85/Q$1</f>
        <v>0.0106896551724138</v>
      </c>
      <c r="R85" s="0" t="n">
        <f aca="false">$B85/R$1</f>
        <v>0.01</v>
      </c>
      <c r="S85" s="0" t="n">
        <f aca="false">$B85/S$1</f>
        <v>0.00939393939393939</v>
      </c>
      <c r="T85" s="0" t="n">
        <f aca="false">$B85/T$1</f>
        <v>0.00885714285714286</v>
      </c>
      <c r="U85" s="0" t="n">
        <f aca="false">$B85/U$1</f>
        <v>0.00837837837837838</v>
      </c>
      <c r="V85" s="0" t="n">
        <f aca="false">$B85/V$1</f>
        <v>0.00794871794871795</v>
      </c>
      <c r="W85" s="0" t="n">
        <f aca="false">$B85/W$1</f>
        <v>0.0075609756097561</v>
      </c>
      <c r="X85" s="0" t="n">
        <f aca="false">$B85/X$1</f>
        <v>0.0072093023255814</v>
      </c>
      <c r="Y85" s="0" t="n">
        <f aca="false">$B85/Y$1</f>
        <v>0.00688888888888889</v>
      </c>
      <c r="Z85" s="0" t="n">
        <f aca="false">$B85/Z$1</f>
        <v>0.00659574468085106</v>
      </c>
      <c r="AA85" s="0" t="n">
        <f aca="false">$B85/AA$1</f>
        <v>0.0063265306122449</v>
      </c>
      <c r="AB85" s="0" t="n">
        <f aca="false">$B85/AB$1</f>
        <v>0.00607843137254902</v>
      </c>
      <c r="AC85" s="0" t="n">
        <f aca="false">$B85/AC$1</f>
        <v>0.00584905660377359</v>
      </c>
      <c r="AD85" s="0" t="n">
        <f aca="false">$B85/AD$1</f>
        <v>0.00563636363636364</v>
      </c>
      <c r="AE85" s="0" t="n">
        <f aca="false">$B85/AE$1</f>
        <v>0.00543859649122807</v>
      </c>
      <c r="AF85" s="0" t="n">
        <f aca="false">$B85/AF$1</f>
        <v>0.00525423728813559</v>
      </c>
      <c r="AG85" s="0" t="n">
        <f aca="false">$B85/AG$1</f>
        <v>0.00508196721311475</v>
      </c>
      <c r="AH85" s="0" t="n">
        <f aca="false">$B85/AH$1</f>
        <v>0.00492063492063492</v>
      </c>
      <c r="AI85" s="0" t="n">
        <f aca="false">$B85/AI$1</f>
        <v>0.00476923076923077</v>
      </c>
      <c r="AJ85" s="0" t="n">
        <f aca="false">$B85/AJ$1</f>
        <v>0.00462686567164179</v>
      </c>
      <c r="AK85" s="0" t="n">
        <f aca="false">$B85/AK$1</f>
        <v>0.00449275362318841</v>
      </c>
      <c r="AL85" s="0" t="n">
        <f aca="false">$B85/AL$1</f>
        <v>0.00436619718309859</v>
      </c>
      <c r="AM85" s="0" t="n">
        <f aca="false">$B85/AM$1</f>
        <v>0.00424657534246575</v>
      </c>
      <c r="AN85" s="0" t="n">
        <f aca="false">$B85/AN$1</f>
        <v>0.00413333333333333</v>
      </c>
      <c r="AO85" s="0" t="n">
        <f aca="false">$B85/AO$1</f>
        <v>0.00402597402597403</v>
      </c>
      <c r="AP85" s="0" t="n">
        <f aca="false">$B85/AP$1</f>
        <v>0.00392405063291139</v>
      </c>
      <c r="AQ85" s="0" t="n">
        <f aca="false">$B85/AQ$1</f>
        <v>0.00382716049382716</v>
      </c>
      <c r="AR85" s="0" t="n">
        <f aca="false">$B85/AR$1</f>
        <v>0.00373493975903614</v>
      </c>
      <c r="AS85" s="0" t="n">
        <f aca="false">$B85/AS$1</f>
        <v>0.00364705882352941</v>
      </c>
      <c r="AT85" s="0" t="n">
        <f aca="false">$B85/AT$1</f>
        <v>0.0035632183908046</v>
      </c>
      <c r="AU85" s="0" t="n">
        <f aca="false">$B85/AU$1</f>
        <v>0.00348314606741573</v>
      </c>
      <c r="AV85" s="0" t="n">
        <f aca="false">$B85/AV$1</f>
        <v>0.00340659340659341</v>
      </c>
      <c r="AW85" s="0" t="n">
        <f aca="false">$B85/AW$1</f>
        <v>0.00333333333333333</v>
      </c>
      <c r="AX85" s="0" t="n">
        <f aca="false">$B85/AX$1</f>
        <v>0.00326315789473684</v>
      </c>
      <c r="AY85" s="0" t="n">
        <f aca="false">$B85/AY$1</f>
        <v>0.00319587628865979</v>
      </c>
      <c r="AZ85" s="0" t="n">
        <f aca="false">$B85/AZ$1</f>
        <v>0.00313131313131313</v>
      </c>
      <c r="BA85" s="0" t="n">
        <f aca="false">$B85/BA$1</f>
        <v>0.00306930693069307</v>
      </c>
      <c r="BB85" s="0" t="n">
        <f aca="false">$B85/BB$1</f>
        <v>0.00300970873786408</v>
      </c>
      <c r="BC85" s="0" t="n">
        <f aca="false">$B85/BC$1</f>
        <v>0.00295238095238095</v>
      </c>
      <c r="BD85" s="0" t="n">
        <f aca="false">$B85/BD$1</f>
        <v>0.00289719626168224</v>
      </c>
      <c r="BE85" s="0" t="n">
        <f aca="false">$B85/BE$1</f>
        <v>0.00284403669724771</v>
      </c>
      <c r="BF85" s="0" t="n">
        <f aca="false">$B85/BF$1</f>
        <v>0.00279279279279279</v>
      </c>
      <c r="BG85" s="0" t="n">
        <f aca="false">$B85/BG$1</f>
        <v>0.00274336283185841</v>
      </c>
      <c r="BH85" s="0" t="n">
        <f aca="false">$B85/BH$1</f>
        <v>0.00269565217391304</v>
      </c>
      <c r="BI85" s="0" t="n">
        <f aca="false">$B85/BI$1</f>
        <v>0.00264957264957265</v>
      </c>
      <c r="BJ85" s="0" t="n">
        <f aca="false">$B85/BJ$1</f>
        <v>0.00260504201680672</v>
      </c>
      <c r="BL85" s="0" t="n">
        <f aca="false">IF($B$84=1,COUNTIF(C85:BJ85,"&gt;="&amp;$C$84),0)</f>
        <v>37</v>
      </c>
      <c r="BM85" s="0" t="n">
        <f aca="false">IF($B$84=1,IF(OR(BS85&gt;=Settings!$B$5,Settings!$C$14&gt;0),MAX(BL85,Settings!$C$14),0),0)</f>
        <v>37</v>
      </c>
      <c r="BN85" s="0" t="n">
        <f aca="false">IF($B$84=1,IF(OR(BS85&gt;=Settings!$B$5,Settings!$C$14&gt;0),MAX(0,(2*MAX(BL85,Settings!$C$14)+1)*$C$84-BS85),MAX(0,Settings!$B$5-BS85)),"")</f>
        <v>0.00418918918918915</v>
      </c>
      <c r="BO85" s="0" t="n">
        <f aca="false">IF($B$84=1,IF(OR(BS85&gt;=Settings!$B$5,Settings!$C$14&gt;0),IF(BL85&lt;=Settings!$C$14,"Protected by electorates",IF(Settings!$C$14=0,MIN(BS85-(2*BL85-1)*$D$84,BS85-Settings!$B$5),BS85-(2*BL85-1)*$D$84)),""),"")</f>
        <v>0.00826666666666664</v>
      </c>
      <c r="BP85" s="0" t="n">
        <f aca="false">IF($B$84=1,IF(OR(BS85&gt;=Settings!$B$5,Settings!$C$14&gt;0),MAX(0,MIN(1,(BS85/$C$84-(2*MAX(BL85,Settings!$C$14)-1))/2)),MIN(1,BS85/Settings!$B$5)),"")</f>
        <v>0.5</v>
      </c>
      <c r="BQ85" s="0" t="n">
        <f aca="false">IF(AND($B$84=1,COUNTIF(C85:BJ85,$C$84)&gt;0),1,0)</f>
        <v>0</v>
      </c>
      <c r="BR85" s="0" t="n">
        <f aca="false">IF(AND($B$84=1,COUNTIF(C85:BJ85,$D$84)&gt;0),1,0)</f>
        <v>1</v>
      </c>
      <c r="BS85" s="0" t="n">
        <f aca="false">N(IF(Polls!H15="",Polls!H37,Polls!H15))</f>
        <v>0.31</v>
      </c>
      <c r="BT85" s="0" t="str">
        <f aca="false">IF(OR(BS85&gt;=Settings!$B$5,Settings!$C$14&gt;0),"Next seat","Threshold")</f>
        <v>Next seat</v>
      </c>
    </row>
    <row r="86" customFormat="false" ht="15" hidden="false" customHeight="false" outlineLevel="0" collapsed="false">
      <c r="A86" s="0" t="s">
        <v>43</v>
      </c>
      <c r="B86" s="0" t="n">
        <f aca="false">IF(OR(BS86&gt;=Settings!$B$5,Settings!$C$15&gt;0),BS86,0)</f>
        <v>0.24</v>
      </c>
      <c r="C86" s="0" t="n">
        <f aca="false">$B86/C$1</f>
        <v>0.24</v>
      </c>
      <c r="D86" s="0" t="n">
        <f aca="false">$B86/D$1</f>
        <v>0.08</v>
      </c>
      <c r="E86" s="0" t="n">
        <f aca="false">$B86/E$1</f>
        <v>0.048</v>
      </c>
      <c r="F86" s="0" t="n">
        <f aca="false">$B86/F$1</f>
        <v>0.0342857142857143</v>
      </c>
      <c r="G86" s="0" t="n">
        <f aca="false">$B86/G$1</f>
        <v>0.0266666666666667</v>
      </c>
      <c r="H86" s="0" t="n">
        <f aca="false">$B86/H$1</f>
        <v>0.0218181818181818</v>
      </c>
      <c r="I86" s="0" t="n">
        <f aca="false">$B86/I$1</f>
        <v>0.0184615384615385</v>
      </c>
      <c r="J86" s="0" t="n">
        <f aca="false">$B86/J$1</f>
        <v>0.016</v>
      </c>
      <c r="K86" s="0" t="n">
        <f aca="false">$B86/K$1</f>
        <v>0.0141176470588235</v>
      </c>
      <c r="L86" s="0" t="n">
        <f aca="false">$B86/L$1</f>
        <v>0.0126315789473684</v>
      </c>
      <c r="M86" s="0" t="n">
        <f aca="false">$B86/M$1</f>
        <v>0.0114285714285714</v>
      </c>
      <c r="N86" s="0" t="n">
        <f aca="false">$B86/N$1</f>
        <v>0.0104347826086957</v>
      </c>
      <c r="O86" s="0" t="n">
        <f aca="false">$B86/O$1</f>
        <v>0.0096</v>
      </c>
      <c r="P86" s="0" t="n">
        <f aca="false">$B86/P$1</f>
        <v>0.00888888888888889</v>
      </c>
      <c r="Q86" s="0" t="n">
        <f aca="false">$B86/Q$1</f>
        <v>0.00827586206896552</v>
      </c>
      <c r="R86" s="0" t="n">
        <f aca="false">$B86/R$1</f>
        <v>0.00774193548387097</v>
      </c>
      <c r="S86" s="0" t="n">
        <f aca="false">$B86/S$1</f>
        <v>0.00727272727272727</v>
      </c>
      <c r="T86" s="0" t="n">
        <f aca="false">$B86/T$1</f>
        <v>0.00685714285714286</v>
      </c>
      <c r="U86" s="0" t="n">
        <f aca="false">$B86/U$1</f>
        <v>0.00648648648648649</v>
      </c>
      <c r="V86" s="0" t="n">
        <f aca="false">$B86/V$1</f>
        <v>0.00615384615384615</v>
      </c>
      <c r="W86" s="0" t="n">
        <f aca="false">$B86/W$1</f>
        <v>0.00585365853658537</v>
      </c>
      <c r="X86" s="0" t="n">
        <f aca="false">$B86/X$1</f>
        <v>0.00558139534883721</v>
      </c>
      <c r="Y86" s="0" t="n">
        <f aca="false">$B86/Y$1</f>
        <v>0.00533333333333333</v>
      </c>
      <c r="Z86" s="0" t="n">
        <f aca="false">$B86/Z$1</f>
        <v>0.0051063829787234</v>
      </c>
      <c r="AA86" s="0" t="n">
        <f aca="false">$B86/AA$1</f>
        <v>0.00489795918367347</v>
      </c>
      <c r="AB86" s="0" t="n">
        <f aca="false">$B86/AB$1</f>
        <v>0.00470588235294118</v>
      </c>
      <c r="AC86" s="0" t="n">
        <f aca="false">$B86/AC$1</f>
        <v>0.00452830188679245</v>
      </c>
      <c r="AD86" s="0" t="n">
        <f aca="false">$B86/AD$1</f>
        <v>0.00436363636363636</v>
      </c>
      <c r="AE86" s="0" t="n">
        <f aca="false">$B86/AE$1</f>
        <v>0.00421052631578947</v>
      </c>
      <c r="AF86" s="0" t="n">
        <f aca="false">$B86/AF$1</f>
        <v>0.00406779661016949</v>
      </c>
      <c r="AG86" s="0" t="n">
        <f aca="false">$B86/AG$1</f>
        <v>0.0039344262295082</v>
      </c>
      <c r="AH86" s="0" t="n">
        <f aca="false">$B86/AH$1</f>
        <v>0.00380952380952381</v>
      </c>
      <c r="AI86" s="0" t="n">
        <f aca="false">$B86/AI$1</f>
        <v>0.00369230769230769</v>
      </c>
      <c r="AJ86" s="0" t="n">
        <f aca="false">$B86/AJ$1</f>
        <v>0.00358208955223881</v>
      </c>
      <c r="AK86" s="0" t="n">
        <f aca="false">$B86/AK$1</f>
        <v>0.00347826086956522</v>
      </c>
      <c r="AL86" s="0" t="n">
        <f aca="false">$B86/AL$1</f>
        <v>0.00338028169014085</v>
      </c>
      <c r="AM86" s="0" t="n">
        <f aca="false">$B86/AM$1</f>
        <v>0.00328767123287671</v>
      </c>
      <c r="AN86" s="0" t="n">
        <f aca="false">$B86/AN$1</f>
        <v>0.0032</v>
      </c>
      <c r="AO86" s="0" t="n">
        <f aca="false">$B86/AO$1</f>
        <v>0.00311688311688312</v>
      </c>
      <c r="AP86" s="0" t="n">
        <f aca="false">$B86/AP$1</f>
        <v>0.0030379746835443</v>
      </c>
      <c r="AQ86" s="0" t="n">
        <f aca="false">$B86/AQ$1</f>
        <v>0.00296296296296296</v>
      </c>
      <c r="AR86" s="0" t="n">
        <f aca="false">$B86/AR$1</f>
        <v>0.00289156626506024</v>
      </c>
      <c r="AS86" s="0" t="n">
        <f aca="false">$B86/AS$1</f>
        <v>0.00282352941176471</v>
      </c>
      <c r="AT86" s="0" t="n">
        <f aca="false">$B86/AT$1</f>
        <v>0.00275862068965517</v>
      </c>
      <c r="AU86" s="0" t="n">
        <f aca="false">$B86/AU$1</f>
        <v>0.00269662921348315</v>
      </c>
      <c r="AV86" s="0" t="n">
        <f aca="false">$B86/AV$1</f>
        <v>0.00263736263736264</v>
      </c>
      <c r="AW86" s="0" t="n">
        <f aca="false">$B86/AW$1</f>
        <v>0.00258064516129032</v>
      </c>
      <c r="AX86" s="0" t="n">
        <f aca="false">$B86/AX$1</f>
        <v>0.00252631578947368</v>
      </c>
      <c r="AY86" s="0" t="n">
        <f aca="false">$B86/AY$1</f>
        <v>0.00247422680412371</v>
      </c>
      <c r="AZ86" s="0" t="n">
        <f aca="false">$B86/AZ$1</f>
        <v>0.00242424242424242</v>
      </c>
      <c r="BA86" s="0" t="n">
        <f aca="false">$B86/BA$1</f>
        <v>0.00237623762376238</v>
      </c>
      <c r="BB86" s="0" t="n">
        <f aca="false">$B86/BB$1</f>
        <v>0.00233009708737864</v>
      </c>
      <c r="BC86" s="0" t="n">
        <f aca="false">$B86/BC$1</f>
        <v>0.00228571428571429</v>
      </c>
      <c r="BD86" s="0" t="n">
        <f aca="false">$B86/BD$1</f>
        <v>0.00224299065420561</v>
      </c>
      <c r="BE86" s="0" t="n">
        <f aca="false">$B86/BE$1</f>
        <v>0.00220183486238532</v>
      </c>
      <c r="BF86" s="0" t="n">
        <f aca="false">$B86/BF$1</f>
        <v>0.00216216216216216</v>
      </c>
      <c r="BG86" s="0" t="n">
        <f aca="false">$B86/BG$1</f>
        <v>0.00212389380530973</v>
      </c>
      <c r="BH86" s="0" t="n">
        <f aca="false">$B86/BH$1</f>
        <v>0.00208695652173913</v>
      </c>
      <c r="BI86" s="0" t="n">
        <f aca="false">$B86/BI$1</f>
        <v>0.00205128205128205</v>
      </c>
      <c r="BJ86" s="0" t="n">
        <f aca="false">$B86/BJ$1</f>
        <v>0.00201680672268908</v>
      </c>
      <c r="BL86" s="0" t="n">
        <f aca="false">IF($B$84=1,COUNTIF(C86:BJ86,"&gt;="&amp;$C$84),0)</f>
        <v>29</v>
      </c>
      <c r="BM86" s="0" t="n">
        <f aca="false">IF($B$84=1,IF(OR(BS86&gt;=Settings!$B$5,Settings!$C$15&gt;0),MAX(BL86,Settings!$C$15),0),0)</f>
        <v>29</v>
      </c>
      <c r="BN86" s="0" t="n">
        <f aca="false">IF($B$84=1,IF(OR(BS86&gt;=Settings!$B$5,Settings!$C$15&gt;0),MAX(0,(2*MAX(BL86,Settings!$C$15)+1)*$C$84-BS86),MAX(0,Settings!$B$5-BS86)),"")</f>
        <v>0.00716216216216214</v>
      </c>
      <c r="BO86" s="0" t="n">
        <f aca="false">IF($B$84=1,IF(OR(BS86&gt;=Settings!$B$5,Settings!$C$15&gt;0),IF(BL86&lt;=Settings!$C$15,"Protected by electorates",IF(Settings!$C$15=0,MIN(BS86-(2*BL86-1)*$D$84,BS86-Settings!$B$5),BS86-(2*BL86-1)*$D$84)),""),"")</f>
        <v>0.00439999999999999</v>
      </c>
      <c r="BP86" s="0" t="n">
        <f aca="false">IF($B$84=1,IF(OR(BS86&gt;=Settings!$B$5,Settings!$C$15&gt;0),MAX(0,MIN(1,(BS86/$C$84-(2*MAX(BL86,Settings!$C$15)-1))/2)),MIN(1,BS86/Settings!$B$5)),"")</f>
        <v>0.14516129032258</v>
      </c>
      <c r="BQ86" s="0" t="n">
        <f aca="false">IF(AND($B$84=1,COUNTIF(C86:BJ86,$C$84)&gt;0),1,0)</f>
        <v>0</v>
      </c>
      <c r="BR86" s="0" t="n">
        <f aca="false">IF(AND($B$84=1,COUNTIF(C86:BJ86,$D$84)&gt;0),1,0)</f>
        <v>0</v>
      </c>
      <c r="BS86" s="0" t="n">
        <f aca="false">N(IF(Polls!I15="",Polls!I37,Polls!I15))</f>
        <v>0.24</v>
      </c>
      <c r="BT86" s="0" t="str">
        <f aca="false">IF(OR(BS86&gt;=Settings!$B$5,Settings!$C$15&gt;0),"Next seat","Threshold")</f>
        <v>Next seat</v>
      </c>
    </row>
    <row r="87" customFormat="false" ht="15" hidden="false" customHeight="false" outlineLevel="0" collapsed="false">
      <c r="A87" s="0" t="s">
        <v>45</v>
      </c>
      <c r="B87" s="0" t="n">
        <f aca="false">IF(OR(BS87&gt;=Settings!$B$5,Settings!$C$16&gt;0),BS87,0)</f>
        <v>0.155</v>
      </c>
      <c r="C87" s="0" t="n">
        <f aca="false">$B87/C$1</f>
        <v>0.155</v>
      </c>
      <c r="D87" s="0" t="n">
        <f aca="false">$B87/D$1</f>
        <v>0.0516666666666667</v>
      </c>
      <c r="E87" s="0" t="n">
        <f aca="false">$B87/E$1</f>
        <v>0.031</v>
      </c>
      <c r="F87" s="0" t="n">
        <f aca="false">$B87/F$1</f>
        <v>0.0221428571428571</v>
      </c>
      <c r="G87" s="0" t="n">
        <f aca="false">$B87/G$1</f>
        <v>0.0172222222222222</v>
      </c>
      <c r="H87" s="0" t="n">
        <f aca="false">$B87/H$1</f>
        <v>0.0140909090909091</v>
      </c>
      <c r="I87" s="0" t="n">
        <f aca="false">$B87/I$1</f>
        <v>0.0119230769230769</v>
      </c>
      <c r="J87" s="0" t="n">
        <f aca="false">$B87/J$1</f>
        <v>0.0103333333333333</v>
      </c>
      <c r="K87" s="0" t="n">
        <f aca="false">$B87/K$1</f>
        <v>0.00911764705882353</v>
      </c>
      <c r="L87" s="0" t="n">
        <f aca="false">$B87/L$1</f>
        <v>0.00815789473684211</v>
      </c>
      <c r="M87" s="0" t="n">
        <f aca="false">$B87/M$1</f>
        <v>0.00738095238095238</v>
      </c>
      <c r="N87" s="0" t="n">
        <f aca="false">$B87/N$1</f>
        <v>0.00673913043478261</v>
      </c>
      <c r="O87" s="0" t="n">
        <f aca="false">$B87/O$1</f>
        <v>0.0062</v>
      </c>
      <c r="P87" s="0" t="n">
        <f aca="false">$B87/P$1</f>
        <v>0.00574074074074074</v>
      </c>
      <c r="Q87" s="0" t="n">
        <f aca="false">$B87/Q$1</f>
        <v>0.0053448275862069</v>
      </c>
      <c r="R87" s="0" t="n">
        <f aca="false">$B87/R$1</f>
        <v>0.005</v>
      </c>
      <c r="S87" s="0" t="n">
        <f aca="false">$B87/S$1</f>
        <v>0.0046969696969697</v>
      </c>
      <c r="T87" s="0" t="n">
        <f aca="false">$B87/T$1</f>
        <v>0.00442857142857143</v>
      </c>
      <c r="U87" s="0" t="n">
        <f aca="false">$B87/U$1</f>
        <v>0.00418918918918919</v>
      </c>
      <c r="V87" s="0" t="n">
        <f aca="false">$B87/V$1</f>
        <v>0.00397435897435897</v>
      </c>
      <c r="W87" s="0" t="n">
        <f aca="false">$B87/W$1</f>
        <v>0.00378048780487805</v>
      </c>
      <c r="X87" s="0" t="n">
        <f aca="false">$B87/X$1</f>
        <v>0.0036046511627907</v>
      </c>
      <c r="Y87" s="0" t="n">
        <f aca="false">$B87/Y$1</f>
        <v>0.00344444444444444</v>
      </c>
      <c r="Z87" s="0" t="n">
        <f aca="false">$B87/Z$1</f>
        <v>0.00329787234042553</v>
      </c>
      <c r="AA87" s="0" t="n">
        <f aca="false">$B87/AA$1</f>
        <v>0.00316326530612245</v>
      </c>
      <c r="AB87" s="0" t="n">
        <f aca="false">$B87/AB$1</f>
        <v>0.00303921568627451</v>
      </c>
      <c r="AC87" s="0" t="n">
        <f aca="false">$B87/AC$1</f>
        <v>0.00292452830188679</v>
      </c>
      <c r="AD87" s="0" t="n">
        <f aca="false">$B87/AD$1</f>
        <v>0.00281818181818182</v>
      </c>
      <c r="AE87" s="0" t="n">
        <f aca="false">$B87/AE$1</f>
        <v>0.00271929824561404</v>
      </c>
      <c r="AF87" s="0" t="n">
        <f aca="false">$B87/AF$1</f>
        <v>0.0026271186440678</v>
      </c>
      <c r="AG87" s="0" t="n">
        <f aca="false">$B87/AG$1</f>
        <v>0.00254098360655738</v>
      </c>
      <c r="AH87" s="0" t="n">
        <f aca="false">$B87/AH$1</f>
        <v>0.00246031746031746</v>
      </c>
      <c r="AI87" s="0" t="n">
        <f aca="false">$B87/AI$1</f>
        <v>0.00238461538461538</v>
      </c>
      <c r="AJ87" s="0" t="n">
        <f aca="false">$B87/AJ$1</f>
        <v>0.0023134328358209</v>
      </c>
      <c r="AK87" s="0" t="n">
        <f aca="false">$B87/AK$1</f>
        <v>0.0022463768115942</v>
      </c>
      <c r="AL87" s="0" t="n">
        <f aca="false">$B87/AL$1</f>
        <v>0.0021830985915493</v>
      </c>
      <c r="AM87" s="0" t="n">
        <f aca="false">$B87/AM$1</f>
        <v>0.00212328767123288</v>
      </c>
      <c r="AN87" s="0" t="n">
        <f aca="false">$B87/AN$1</f>
        <v>0.00206666666666667</v>
      </c>
      <c r="AO87" s="0" t="n">
        <f aca="false">$B87/AO$1</f>
        <v>0.00201298701298701</v>
      </c>
      <c r="AP87" s="0" t="n">
        <f aca="false">$B87/AP$1</f>
        <v>0.0019620253164557</v>
      </c>
      <c r="AQ87" s="0" t="n">
        <f aca="false">$B87/AQ$1</f>
        <v>0.00191358024691358</v>
      </c>
      <c r="AR87" s="0" t="n">
        <f aca="false">$B87/AR$1</f>
        <v>0.00186746987951807</v>
      </c>
      <c r="AS87" s="0" t="n">
        <f aca="false">$B87/AS$1</f>
        <v>0.00182352941176471</v>
      </c>
      <c r="AT87" s="0" t="n">
        <f aca="false">$B87/AT$1</f>
        <v>0.0017816091954023</v>
      </c>
      <c r="AU87" s="0" t="n">
        <f aca="false">$B87/AU$1</f>
        <v>0.00174157303370787</v>
      </c>
      <c r="AV87" s="0" t="n">
        <f aca="false">$B87/AV$1</f>
        <v>0.0017032967032967</v>
      </c>
      <c r="AW87" s="0" t="n">
        <f aca="false">$B87/AW$1</f>
        <v>0.00166666666666667</v>
      </c>
      <c r="AX87" s="0" t="n">
        <f aca="false">$B87/AX$1</f>
        <v>0.00163157894736842</v>
      </c>
      <c r="AY87" s="0" t="n">
        <f aca="false">$B87/AY$1</f>
        <v>0.0015979381443299</v>
      </c>
      <c r="AZ87" s="0" t="n">
        <f aca="false">$B87/AZ$1</f>
        <v>0.00156565656565657</v>
      </c>
      <c r="BA87" s="0" t="n">
        <f aca="false">$B87/BA$1</f>
        <v>0.00153465346534653</v>
      </c>
      <c r="BB87" s="0" t="n">
        <f aca="false">$B87/BB$1</f>
        <v>0.00150485436893204</v>
      </c>
      <c r="BC87" s="0" t="n">
        <f aca="false">$B87/BC$1</f>
        <v>0.00147619047619048</v>
      </c>
      <c r="BD87" s="0" t="n">
        <f aca="false">$B87/BD$1</f>
        <v>0.00144859813084112</v>
      </c>
      <c r="BE87" s="0" t="n">
        <f aca="false">$B87/BE$1</f>
        <v>0.00142201834862385</v>
      </c>
      <c r="BF87" s="0" t="n">
        <f aca="false">$B87/BF$1</f>
        <v>0.0013963963963964</v>
      </c>
      <c r="BG87" s="0" t="n">
        <f aca="false">$B87/BG$1</f>
        <v>0.0013716814159292</v>
      </c>
      <c r="BH87" s="0" t="n">
        <f aca="false">$B87/BH$1</f>
        <v>0.00134782608695652</v>
      </c>
      <c r="BI87" s="0" t="n">
        <f aca="false">$B87/BI$1</f>
        <v>0.00132478632478632</v>
      </c>
      <c r="BJ87" s="0" t="n">
        <f aca="false">$B87/BJ$1</f>
        <v>0.00130252100840336</v>
      </c>
      <c r="BL87" s="0" t="n">
        <f aca="false">IF($B$84=1,COUNTIF(C87:BJ87,"&gt;="&amp;$C$84),0)</f>
        <v>19</v>
      </c>
      <c r="BM87" s="0" t="n">
        <f aca="false">IF($B$84=1,IF(OR(BS87&gt;=Settings!$B$5,Settings!$C$16&gt;0),MAX(BL87,Settings!$C$16),0),0)</f>
        <v>19</v>
      </c>
      <c r="BN87" s="0" t="n">
        <f aca="false">IF($B$84=1,IF(OR(BS87&gt;=Settings!$B$5,Settings!$C$16&gt;0),MAX(0,(2*MAX(BL87,Settings!$C$16)+1)*$C$84-BS87),MAX(0,Settings!$B$5-BS87)),"")</f>
        <v>0.00837837837837838</v>
      </c>
      <c r="BO87" s="0" t="n">
        <f aca="false">IF($B$84=1,IF(OR(BS87&gt;=Settings!$B$5,Settings!$C$16&gt;0),IF(BL87&lt;=Settings!$C$16,"Protected by electorates",IF(Settings!$C$16=0,MIN(BS87-(2*BL87-1)*$D$84,BS87-Settings!$B$5),BS87-(2*BL87-1)*$D$84)),""),"")</f>
        <v>0.00206666666666666</v>
      </c>
      <c r="BP87" s="0" t="n">
        <f aca="false">IF($B$84=1,IF(OR(BS87&gt;=Settings!$B$5,Settings!$C$16&gt;0),MAX(0,MIN(1,(BS87/$C$84-(2*MAX(BL87,Settings!$C$16)-1))/2)),MIN(1,BS87/Settings!$B$5)),"")</f>
        <v>0</v>
      </c>
      <c r="BQ87" s="0" t="n">
        <f aca="false">IF(AND($B$84=1,COUNTIF(C87:BJ87,$C$84)&gt;0),1,0)</f>
        <v>1</v>
      </c>
      <c r="BR87" s="0" t="n">
        <f aca="false">IF(AND($B$84=1,COUNTIF(C87:BJ87,$D$84)&gt;0),1,0)</f>
        <v>0</v>
      </c>
      <c r="BS87" s="0" t="n">
        <f aca="false">N(IF(Polls!J15="",Polls!J37,Polls!J15))</f>
        <v>0.155</v>
      </c>
      <c r="BT87" s="0" t="str">
        <f aca="false">IF(OR(BS87&gt;=Settings!$B$5,Settings!$C$16&gt;0),"Next seat","Threshold")</f>
        <v>Next seat</v>
      </c>
    </row>
    <row r="88" customFormat="false" ht="15" hidden="false" customHeight="false" outlineLevel="0" collapsed="false">
      <c r="A88" s="0" t="s">
        <v>46</v>
      </c>
      <c r="B88" s="0" t="n">
        <f aca="false">IF(OR(BS88&gt;=Settings!$B$5,Settings!$C$17&gt;0),BS88,0)</f>
        <v>0.105</v>
      </c>
      <c r="C88" s="0" t="n">
        <f aca="false">$B88/C$1</f>
        <v>0.105</v>
      </c>
      <c r="D88" s="0" t="n">
        <f aca="false">$B88/D$1</f>
        <v>0.035</v>
      </c>
      <c r="E88" s="0" t="n">
        <f aca="false">$B88/E$1</f>
        <v>0.021</v>
      </c>
      <c r="F88" s="0" t="n">
        <f aca="false">$B88/F$1</f>
        <v>0.015</v>
      </c>
      <c r="G88" s="0" t="n">
        <f aca="false">$B88/G$1</f>
        <v>0.0116666666666667</v>
      </c>
      <c r="H88" s="0" t="n">
        <f aca="false">$B88/H$1</f>
        <v>0.00954545454545454</v>
      </c>
      <c r="I88" s="0" t="n">
        <f aca="false">$B88/I$1</f>
        <v>0.00807692307692308</v>
      </c>
      <c r="J88" s="0" t="n">
        <f aca="false">$B88/J$1</f>
        <v>0.007</v>
      </c>
      <c r="K88" s="0" t="n">
        <f aca="false">$B88/K$1</f>
        <v>0.00617647058823529</v>
      </c>
      <c r="L88" s="0" t="n">
        <f aca="false">$B88/L$1</f>
        <v>0.00552631578947368</v>
      </c>
      <c r="M88" s="0" t="n">
        <f aca="false">$B88/M$1</f>
        <v>0.005</v>
      </c>
      <c r="N88" s="0" t="n">
        <f aca="false">$B88/N$1</f>
        <v>0.00456521739130435</v>
      </c>
      <c r="O88" s="0" t="n">
        <f aca="false">$B88/O$1</f>
        <v>0.0042</v>
      </c>
      <c r="P88" s="0" t="n">
        <f aca="false">$B88/P$1</f>
        <v>0.00388888888888889</v>
      </c>
      <c r="Q88" s="0" t="n">
        <f aca="false">$B88/Q$1</f>
        <v>0.00362068965517241</v>
      </c>
      <c r="R88" s="0" t="n">
        <f aca="false">$B88/R$1</f>
        <v>0.00338709677419355</v>
      </c>
      <c r="S88" s="0" t="n">
        <f aca="false">$B88/S$1</f>
        <v>0.00318181818181818</v>
      </c>
      <c r="T88" s="0" t="n">
        <f aca="false">$B88/T$1</f>
        <v>0.003</v>
      </c>
      <c r="U88" s="0" t="n">
        <f aca="false">$B88/U$1</f>
        <v>0.00283783783783784</v>
      </c>
      <c r="V88" s="0" t="n">
        <f aca="false">$B88/V$1</f>
        <v>0.00269230769230769</v>
      </c>
      <c r="W88" s="0" t="n">
        <f aca="false">$B88/W$1</f>
        <v>0.0025609756097561</v>
      </c>
      <c r="X88" s="0" t="n">
        <f aca="false">$B88/X$1</f>
        <v>0.00244186046511628</v>
      </c>
      <c r="Y88" s="0" t="n">
        <f aca="false">$B88/Y$1</f>
        <v>0.00233333333333333</v>
      </c>
      <c r="Z88" s="0" t="n">
        <f aca="false">$B88/Z$1</f>
        <v>0.00223404255319149</v>
      </c>
      <c r="AA88" s="0" t="n">
        <f aca="false">$B88/AA$1</f>
        <v>0.00214285714285714</v>
      </c>
      <c r="AB88" s="0" t="n">
        <f aca="false">$B88/AB$1</f>
        <v>0.00205882352941176</v>
      </c>
      <c r="AC88" s="0" t="n">
        <f aca="false">$B88/AC$1</f>
        <v>0.0019811320754717</v>
      </c>
      <c r="AD88" s="0" t="n">
        <f aca="false">$B88/AD$1</f>
        <v>0.00190909090909091</v>
      </c>
      <c r="AE88" s="0" t="n">
        <f aca="false">$B88/AE$1</f>
        <v>0.00184210526315789</v>
      </c>
      <c r="AF88" s="0" t="n">
        <f aca="false">$B88/AF$1</f>
        <v>0.00177966101694915</v>
      </c>
      <c r="AG88" s="0" t="n">
        <f aca="false">$B88/AG$1</f>
        <v>0.00172131147540984</v>
      </c>
      <c r="AH88" s="0" t="n">
        <f aca="false">$B88/AH$1</f>
        <v>0.00166666666666667</v>
      </c>
      <c r="AI88" s="0" t="n">
        <f aca="false">$B88/AI$1</f>
        <v>0.00161538461538462</v>
      </c>
      <c r="AJ88" s="0" t="n">
        <f aca="false">$B88/AJ$1</f>
        <v>0.00156716417910448</v>
      </c>
      <c r="AK88" s="0" t="n">
        <f aca="false">$B88/AK$1</f>
        <v>0.00152173913043478</v>
      </c>
      <c r="AL88" s="0" t="n">
        <f aca="false">$B88/AL$1</f>
        <v>0.00147887323943662</v>
      </c>
      <c r="AM88" s="0" t="n">
        <f aca="false">$B88/AM$1</f>
        <v>0.00143835616438356</v>
      </c>
      <c r="AN88" s="0" t="n">
        <f aca="false">$B88/AN$1</f>
        <v>0.0014</v>
      </c>
      <c r="AO88" s="0" t="n">
        <f aca="false">$B88/AO$1</f>
        <v>0.00136363636363636</v>
      </c>
      <c r="AP88" s="0" t="n">
        <f aca="false">$B88/AP$1</f>
        <v>0.00132911392405063</v>
      </c>
      <c r="AQ88" s="0" t="n">
        <f aca="false">$B88/AQ$1</f>
        <v>0.0012962962962963</v>
      </c>
      <c r="AR88" s="0" t="n">
        <f aca="false">$B88/AR$1</f>
        <v>0.00126506024096386</v>
      </c>
      <c r="AS88" s="0" t="n">
        <f aca="false">$B88/AS$1</f>
        <v>0.00123529411764706</v>
      </c>
      <c r="AT88" s="0" t="n">
        <f aca="false">$B88/AT$1</f>
        <v>0.00120689655172414</v>
      </c>
      <c r="AU88" s="0" t="n">
        <f aca="false">$B88/AU$1</f>
        <v>0.00117977528089888</v>
      </c>
      <c r="AV88" s="0" t="n">
        <f aca="false">$B88/AV$1</f>
        <v>0.00115384615384615</v>
      </c>
      <c r="AW88" s="0" t="n">
        <f aca="false">$B88/AW$1</f>
        <v>0.00112903225806452</v>
      </c>
      <c r="AX88" s="0" t="n">
        <f aca="false">$B88/AX$1</f>
        <v>0.00110526315789474</v>
      </c>
      <c r="AY88" s="0" t="n">
        <f aca="false">$B88/AY$1</f>
        <v>0.00108247422680412</v>
      </c>
      <c r="AZ88" s="0" t="n">
        <f aca="false">$B88/AZ$1</f>
        <v>0.00106060606060606</v>
      </c>
      <c r="BA88" s="0" t="n">
        <f aca="false">$B88/BA$1</f>
        <v>0.00103960396039604</v>
      </c>
      <c r="BB88" s="0" t="n">
        <f aca="false">$B88/BB$1</f>
        <v>0.00101941747572816</v>
      </c>
      <c r="BC88" s="0" t="n">
        <f aca="false">$B88/BC$1</f>
        <v>0.001</v>
      </c>
      <c r="BD88" s="0" t="n">
        <f aca="false">$B88/BD$1</f>
        <v>0.000981308411214953</v>
      </c>
      <c r="BE88" s="0" t="n">
        <f aca="false">$B88/BE$1</f>
        <v>0.000963302752293578</v>
      </c>
      <c r="BF88" s="0" t="n">
        <f aca="false">$B88/BF$1</f>
        <v>0.000945945945945946</v>
      </c>
      <c r="BG88" s="0" t="n">
        <f aca="false">$B88/BG$1</f>
        <v>0.000929203539823009</v>
      </c>
      <c r="BH88" s="0" t="n">
        <f aca="false">$B88/BH$1</f>
        <v>0.00091304347826087</v>
      </c>
      <c r="BI88" s="0" t="n">
        <f aca="false">$B88/BI$1</f>
        <v>0.000897435897435897</v>
      </c>
      <c r="BJ88" s="0" t="n">
        <f aca="false">$B88/BJ$1</f>
        <v>0.000882352941176471</v>
      </c>
      <c r="BL88" s="0" t="n">
        <f aca="false">IF($B$84=1,COUNTIF(C88:BJ88,"&gt;="&amp;$C$84),0)</f>
        <v>13</v>
      </c>
      <c r="BM88" s="0" t="n">
        <f aca="false">IF($B$84=1,IF(OR(BS88&gt;=Settings!$B$5,Settings!$C$17&gt;0),MAX(BL88,Settings!$C$17),0),0)</f>
        <v>13</v>
      </c>
      <c r="BN88" s="0" t="n">
        <f aca="false">IF($B$84=1,IF(OR(BS88&gt;=Settings!$B$5,Settings!$C$17&gt;0),MAX(0,(2*MAX(BL88,Settings!$C$17)+1)*$C$84-BS88),MAX(0,Settings!$B$5-BS88)),"")</f>
        <v>0.00810810810810811</v>
      </c>
      <c r="BO88" s="0" t="n">
        <f aca="false">IF($B$84=1,IF(OR(BS88&gt;=Settings!$B$5,Settings!$C$17&gt;0),IF(BL88&lt;=Settings!$C$17,"Protected by electorates",IF(Settings!$C$17=0,MIN(BS88-(2*BL88-1)*$D$84,BS88-Settings!$B$5),BS88-(2*BL88-1)*$D$84)),""),"")</f>
        <v>0.00166666666666666</v>
      </c>
      <c r="BP88" s="0" t="n">
        <f aca="false">IF($B$84=1,IF(OR(BS88&gt;=Settings!$B$5,Settings!$C$17&gt;0),MAX(0,MIN(1,(BS88/$C$84-(2*MAX(BL88,Settings!$C$17)-1))/2)),MIN(1,BS88/Settings!$B$5)),"")</f>
        <v>0.0322580645161299</v>
      </c>
      <c r="BQ88" s="0" t="n">
        <f aca="false">IF(AND($B$84=1,COUNTIF(C88:BJ88,$C$84)&gt;0),1,0)</f>
        <v>0</v>
      </c>
      <c r="BR88" s="0" t="n">
        <f aca="false">IF(AND($B$84=1,COUNTIF(C88:BJ88,$D$84)&gt;0),1,0)</f>
        <v>0</v>
      </c>
      <c r="BS88" s="0" t="n">
        <f aca="false">N(IF(Polls!K15="",Polls!K37,Polls!K15))</f>
        <v>0.105</v>
      </c>
      <c r="BT88" s="0" t="str">
        <f aca="false">IF(OR(BS88&gt;=Settings!$B$5,Settings!$C$17&gt;0),"Next seat","Threshold")</f>
        <v>Next seat</v>
      </c>
    </row>
    <row r="89" customFormat="false" ht="15" hidden="false" customHeight="false" outlineLevel="0" collapsed="false">
      <c r="A89" s="0" t="s">
        <v>48</v>
      </c>
      <c r="B89" s="0" t="n">
        <f aca="false">IF(OR(BS89&gt;=Settings!$B$5,Settings!$C$18&gt;0),BS89,0)</f>
        <v>0.075</v>
      </c>
      <c r="C89" s="0" t="n">
        <f aca="false">$B89/C$1</f>
        <v>0.075</v>
      </c>
      <c r="D89" s="0" t="n">
        <f aca="false">$B89/D$1</f>
        <v>0.025</v>
      </c>
      <c r="E89" s="0" t="n">
        <f aca="false">$B89/E$1</f>
        <v>0.015</v>
      </c>
      <c r="F89" s="0" t="n">
        <f aca="false">$B89/F$1</f>
        <v>0.0107142857142857</v>
      </c>
      <c r="G89" s="0" t="n">
        <f aca="false">$B89/G$1</f>
        <v>0.00833333333333333</v>
      </c>
      <c r="H89" s="0" t="n">
        <f aca="false">$B89/H$1</f>
        <v>0.00681818181818182</v>
      </c>
      <c r="I89" s="0" t="n">
        <f aca="false">$B89/I$1</f>
        <v>0.00576923076923077</v>
      </c>
      <c r="J89" s="0" t="n">
        <f aca="false">$B89/J$1</f>
        <v>0.005</v>
      </c>
      <c r="K89" s="0" t="n">
        <f aca="false">$B89/K$1</f>
        <v>0.00441176470588235</v>
      </c>
      <c r="L89" s="0" t="n">
        <f aca="false">$B89/L$1</f>
        <v>0.00394736842105263</v>
      </c>
      <c r="M89" s="0" t="n">
        <f aca="false">$B89/M$1</f>
        <v>0.00357142857142857</v>
      </c>
      <c r="N89" s="0" t="n">
        <f aca="false">$B89/N$1</f>
        <v>0.00326086956521739</v>
      </c>
      <c r="O89" s="0" t="n">
        <f aca="false">$B89/O$1</f>
        <v>0.003</v>
      </c>
      <c r="P89" s="0" t="n">
        <f aca="false">$B89/P$1</f>
        <v>0.00277777777777778</v>
      </c>
      <c r="Q89" s="0" t="n">
        <f aca="false">$B89/Q$1</f>
        <v>0.00258620689655172</v>
      </c>
      <c r="R89" s="0" t="n">
        <f aca="false">$B89/R$1</f>
        <v>0.00241935483870968</v>
      </c>
      <c r="S89" s="0" t="n">
        <f aca="false">$B89/S$1</f>
        <v>0.00227272727272727</v>
      </c>
      <c r="T89" s="0" t="n">
        <f aca="false">$B89/T$1</f>
        <v>0.00214285714285714</v>
      </c>
      <c r="U89" s="0" t="n">
        <f aca="false">$B89/U$1</f>
        <v>0.00202702702702703</v>
      </c>
      <c r="V89" s="0" t="n">
        <f aca="false">$B89/V$1</f>
        <v>0.00192307692307692</v>
      </c>
      <c r="W89" s="0" t="n">
        <f aca="false">$B89/W$1</f>
        <v>0.00182926829268293</v>
      </c>
      <c r="X89" s="0" t="n">
        <f aca="false">$B89/X$1</f>
        <v>0.00174418604651163</v>
      </c>
      <c r="Y89" s="0" t="n">
        <f aca="false">$B89/Y$1</f>
        <v>0.00166666666666667</v>
      </c>
      <c r="Z89" s="0" t="n">
        <f aca="false">$B89/Z$1</f>
        <v>0.00159574468085106</v>
      </c>
      <c r="AA89" s="0" t="n">
        <f aca="false">$B89/AA$1</f>
        <v>0.00153061224489796</v>
      </c>
      <c r="AB89" s="0" t="n">
        <f aca="false">$B89/AB$1</f>
        <v>0.00147058823529412</v>
      </c>
      <c r="AC89" s="0" t="n">
        <f aca="false">$B89/AC$1</f>
        <v>0.00141509433962264</v>
      </c>
      <c r="AD89" s="0" t="n">
        <f aca="false">$B89/AD$1</f>
        <v>0.00136363636363636</v>
      </c>
      <c r="AE89" s="0" t="n">
        <f aca="false">$B89/AE$1</f>
        <v>0.00131578947368421</v>
      </c>
      <c r="AF89" s="0" t="n">
        <f aca="false">$B89/AF$1</f>
        <v>0.00127118644067797</v>
      </c>
      <c r="AG89" s="0" t="n">
        <f aca="false">$B89/AG$1</f>
        <v>0.00122950819672131</v>
      </c>
      <c r="AH89" s="0" t="n">
        <f aca="false">$B89/AH$1</f>
        <v>0.00119047619047619</v>
      </c>
      <c r="AI89" s="0" t="n">
        <f aca="false">$B89/AI$1</f>
        <v>0.00115384615384615</v>
      </c>
      <c r="AJ89" s="0" t="n">
        <f aca="false">$B89/AJ$1</f>
        <v>0.00111940298507463</v>
      </c>
      <c r="AK89" s="0" t="n">
        <f aca="false">$B89/AK$1</f>
        <v>0.00108695652173913</v>
      </c>
      <c r="AL89" s="0" t="n">
        <f aca="false">$B89/AL$1</f>
        <v>0.00105633802816901</v>
      </c>
      <c r="AM89" s="0" t="n">
        <f aca="false">$B89/AM$1</f>
        <v>0.00102739726027397</v>
      </c>
      <c r="AN89" s="0" t="n">
        <f aca="false">$B89/AN$1</f>
        <v>0.001</v>
      </c>
      <c r="AO89" s="0" t="n">
        <f aca="false">$B89/AO$1</f>
        <v>0.000974025974025974</v>
      </c>
      <c r="AP89" s="0" t="n">
        <f aca="false">$B89/AP$1</f>
        <v>0.000949367088607595</v>
      </c>
      <c r="AQ89" s="0" t="n">
        <f aca="false">$B89/AQ$1</f>
        <v>0.000925925925925926</v>
      </c>
      <c r="AR89" s="0" t="n">
        <f aca="false">$B89/AR$1</f>
        <v>0.000903614457831325</v>
      </c>
      <c r="AS89" s="0" t="n">
        <f aca="false">$B89/AS$1</f>
        <v>0.000882352941176471</v>
      </c>
      <c r="AT89" s="0" t="n">
        <f aca="false">$B89/AT$1</f>
        <v>0.000862068965517241</v>
      </c>
      <c r="AU89" s="0" t="n">
        <f aca="false">$B89/AU$1</f>
        <v>0.000842696629213483</v>
      </c>
      <c r="AV89" s="0" t="n">
        <f aca="false">$B89/AV$1</f>
        <v>0.000824175824175824</v>
      </c>
      <c r="AW89" s="0" t="n">
        <f aca="false">$B89/AW$1</f>
        <v>0.000806451612903226</v>
      </c>
      <c r="AX89" s="0" t="n">
        <f aca="false">$B89/AX$1</f>
        <v>0.000789473684210526</v>
      </c>
      <c r="AY89" s="0" t="n">
        <f aca="false">$B89/AY$1</f>
        <v>0.00077319587628866</v>
      </c>
      <c r="AZ89" s="0" t="n">
        <f aca="false">$B89/AZ$1</f>
        <v>0.000757575757575758</v>
      </c>
      <c r="BA89" s="0" t="n">
        <f aca="false">$B89/BA$1</f>
        <v>0.000742574257425743</v>
      </c>
      <c r="BB89" s="0" t="n">
        <f aca="false">$B89/BB$1</f>
        <v>0.000728155339805825</v>
      </c>
      <c r="BC89" s="0" t="n">
        <f aca="false">$B89/BC$1</f>
        <v>0.000714285714285714</v>
      </c>
      <c r="BD89" s="0" t="n">
        <f aca="false">$B89/BD$1</f>
        <v>0.000700934579439252</v>
      </c>
      <c r="BE89" s="0" t="n">
        <f aca="false">$B89/BE$1</f>
        <v>0.000688073394495413</v>
      </c>
      <c r="BF89" s="0" t="n">
        <f aca="false">$B89/BF$1</f>
        <v>0.000675675675675676</v>
      </c>
      <c r="BG89" s="0" t="n">
        <f aca="false">$B89/BG$1</f>
        <v>0.000663716814159292</v>
      </c>
      <c r="BH89" s="0" t="n">
        <f aca="false">$B89/BH$1</f>
        <v>0.000652173913043478</v>
      </c>
      <c r="BI89" s="0" t="n">
        <f aca="false">$B89/BI$1</f>
        <v>0.000641025641025641</v>
      </c>
      <c r="BJ89" s="0" t="n">
        <f aca="false">$B89/BJ$1</f>
        <v>0.000630252100840336</v>
      </c>
      <c r="BL89" s="0" t="n">
        <f aca="false">IF($B$84=1,COUNTIF(C89:BJ89,"&gt;="&amp;$C$84),0)</f>
        <v>9</v>
      </c>
      <c r="BM89" s="0" t="n">
        <f aca="false">IF($B$84=1,IF(OR(BS89&gt;=Settings!$B$5,Settings!$C$18&gt;0),MAX(BL89,Settings!$C$18),0),0)</f>
        <v>9</v>
      </c>
      <c r="BN89" s="0" t="n">
        <f aca="false">IF($B$84=1,IF(OR(BS89&gt;=Settings!$B$5,Settings!$C$18&gt;0),MAX(0,(2*MAX(BL89,Settings!$C$18)+1)*$C$84-BS89),MAX(0,Settings!$B$5-BS89)),"")</f>
        <v>0.00459459459459459</v>
      </c>
      <c r="BO89" s="0" t="n">
        <f aca="false">IF($B$84=1,IF(OR(BS89&gt;=Settings!$B$5,Settings!$C$18&gt;0),IF(BL89&lt;=Settings!$C$18,"Protected by electorates",IF(Settings!$C$18=0,MIN(BS89-(2*BL89-1)*$D$84,BS89-Settings!$B$5),BS89-(2*BL89-1)*$D$84)),""),"")</f>
        <v>0.00473333333333333</v>
      </c>
      <c r="BP89" s="0" t="n">
        <f aca="false">IF($B$84=1,IF(OR(BS89&gt;=Settings!$B$5,Settings!$C$18&gt;0),MAX(0,MIN(1,(BS89/$C$84-(2*MAX(BL89,Settings!$C$18)-1))/2)),MIN(1,BS89/Settings!$B$5)),"")</f>
        <v>0.451612903225806</v>
      </c>
      <c r="BQ89" s="0" t="n">
        <f aca="false">IF(AND($B$84=1,COUNTIF(C89:BJ89,$C$84)&gt;0),1,0)</f>
        <v>0</v>
      </c>
      <c r="BR89" s="0" t="n">
        <f aca="false">IF(AND($B$84=1,COUNTIF(C89:BJ89,$D$84)&gt;0),1,0)</f>
        <v>0</v>
      </c>
      <c r="BS89" s="0" t="n">
        <f aca="false">N(IF(Polls!L15="",Polls!L37,Polls!L15))</f>
        <v>0.075</v>
      </c>
      <c r="BT89" s="0" t="str">
        <f aca="false">IF(OR(BS89&gt;=Settings!$B$5,Settings!$C$18&gt;0),"Next seat","Threshold")</f>
        <v>Next seat</v>
      </c>
    </row>
    <row r="90" customFormat="false" ht="15" hidden="false" customHeight="false" outlineLevel="0" collapsed="false">
      <c r="A90" s="0" t="s">
        <v>50</v>
      </c>
      <c r="B90" s="0" t="n">
        <f aca="false">IF(OR(BS90&gt;=Settings!$B$5,Settings!$C$19&gt;0),BS90,0)</f>
        <v>0.015</v>
      </c>
      <c r="C90" s="0" t="n">
        <f aca="false">$B90/C$1</f>
        <v>0.015</v>
      </c>
      <c r="D90" s="0" t="n">
        <f aca="false">$B90/D$1</f>
        <v>0.005</v>
      </c>
      <c r="E90" s="0" t="n">
        <f aca="false">$B90/E$1</f>
        <v>0.003</v>
      </c>
      <c r="F90" s="0" t="n">
        <f aca="false">$B90/F$1</f>
        <v>0.00214285714285714</v>
      </c>
      <c r="G90" s="0" t="n">
        <f aca="false">$B90/G$1</f>
        <v>0.00166666666666667</v>
      </c>
      <c r="H90" s="0" t="n">
        <f aca="false">$B90/H$1</f>
        <v>0.00136363636363636</v>
      </c>
      <c r="I90" s="0" t="n">
        <f aca="false">$B90/I$1</f>
        <v>0.00115384615384615</v>
      </c>
      <c r="J90" s="0" t="n">
        <f aca="false">$B90/J$1</f>
        <v>0.001</v>
      </c>
      <c r="K90" s="0" t="n">
        <f aca="false">$B90/K$1</f>
        <v>0.000882352941176471</v>
      </c>
      <c r="L90" s="0" t="n">
        <f aca="false">$B90/L$1</f>
        <v>0.000789473684210526</v>
      </c>
      <c r="M90" s="0" t="n">
        <f aca="false">$B90/M$1</f>
        <v>0.000714285714285714</v>
      </c>
      <c r="N90" s="0" t="n">
        <f aca="false">$B90/N$1</f>
        <v>0.000652173913043478</v>
      </c>
      <c r="O90" s="0" t="n">
        <f aca="false">$B90/O$1</f>
        <v>0.0006</v>
      </c>
      <c r="P90" s="0" t="n">
        <f aca="false">$B90/P$1</f>
        <v>0.000555555555555556</v>
      </c>
      <c r="Q90" s="0" t="n">
        <f aca="false">$B90/Q$1</f>
        <v>0.000517241379310345</v>
      </c>
      <c r="R90" s="0" t="n">
        <f aca="false">$B90/R$1</f>
        <v>0.000483870967741936</v>
      </c>
      <c r="S90" s="0" t="n">
        <f aca="false">$B90/S$1</f>
        <v>0.000454545454545455</v>
      </c>
      <c r="T90" s="0" t="n">
        <f aca="false">$B90/T$1</f>
        <v>0.000428571428571429</v>
      </c>
      <c r="U90" s="0" t="n">
        <f aca="false">$B90/U$1</f>
        <v>0.000405405405405405</v>
      </c>
      <c r="V90" s="0" t="n">
        <f aca="false">$B90/V$1</f>
        <v>0.000384615384615385</v>
      </c>
      <c r="W90" s="0" t="n">
        <f aca="false">$B90/W$1</f>
        <v>0.000365853658536585</v>
      </c>
      <c r="X90" s="0" t="n">
        <f aca="false">$B90/X$1</f>
        <v>0.000348837209302326</v>
      </c>
      <c r="Y90" s="0" t="n">
        <f aca="false">$B90/Y$1</f>
        <v>0.000333333333333333</v>
      </c>
      <c r="Z90" s="0" t="n">
        <f aca="false">$B90/Z$1</f>
        <v>0.000319148936170213</v>
      </c>
      <c r="AA90" s="0" t="n">
        <f aca="false">$B90/AA$1</f>
        <v>0.000306122448979592</v>
      </c>
      <c r="AB90" s="0" t="n">
        <f aca="false">$B90/AB$1</f>
        <v>0.000294117647058824</v>
      </c>
      <c r="AC90" s="0" t="n">
        <f aca="false">$B90/AC$1</f>
        <v>0.000283018867924528</v>
      </c>
      <c r="AD90" s="0" t="n">
        <f aca="false">$B90/AD$1</f>
        <v>0.000272727272727273</v>
      </c>
      <c r="AE90" s="0" t="n">
        <f aca="false">$B90/AE$1</f>
        <v>0.000263157894736842</v>
      </c>
      <c r="AF90" s="0" t="n">
        <f aca="false">$B90/AF$1</f>
        <v>0.000254237288135593</v>
      </c>
      <c r="AG90" s="0" t="n">
        <f aca="false">$B90/AG$1</f>
        <v>0.000245901639344262</v>
      </c>
      <c r="AH90" s="0" t="n">
        <f aca="false">$B90/AH$1</f>
        <v>0.000238095238095238</v>
      </c>
      <c r="AI90" s="0" t="n">
        <f aca="false">$B90/AI$1</f>
        <v>0.000230769230769231</v>
      </c>
      <c r="AJ90" s="0" t="n">
        <f aca="false">$B90/AJ$1</f>
        <v>0.000223880597014925</v>
      </c>
      <c r="AK90" s="0" t="n">
        <f aca="false">$B90/AK$1</f>
        <v>0.000217391304347826</v>
      </c>
      <c r="AL90" s="0" t="n">
        <f aca="false">$B90/AL$1</f>
        <v>0.000211267605633803</v>
      </c>
      <c r="AM90" s="0" t="n">
        <f aca="false">$B90/AM$1</f>
        <v>0.000205479452054795</v>
      </c>
      <c r="AN90" s="0" t="n">
        <f aca="false">$B90/AN$1</f>
        <v>0.0002</v>
      </c>
      <c r="AO90" s="0" t="n">
        <f aca="false">$B90/AO$1</f>
        <v>0.000194805194805195</v>
      </c>
      <c r="AP90" s="0" t="n">
        <f aca="false">$B90/AP$1</f>
        <v>0.000189873417721519</v>
      </c>
      <c r="AQ90" s="0" t="n">
        <f aca="false">$B90/AQ$1</f>
        <v>0.000185185185185185</v>
      </c>
      <c r="AR90" s="0" t="n">
        <f aca="false">$B90/AR$1</f>
        <v>0.000180722891566265</v>
      </c>
      <c r="AS90" s="0" t="n">
        <f aca="false">$B90/AS$1</f>
        <v>0.000176470588235294</v>
      </c>
      <c r="AT90" s="0" t="n">
        <f aca="false">$B90/AT$1</f>
        <v>0.000172413793103448</v>
      </c>
      <c r="AU90" s="0" t="n">
        <f aca="false">$B90/AU$1</f>
        <v>0.000168539325842697</v>
      </c>
      <c r="AV90" s="0" t="n">
        <f aca="false">$B90/AV$1</f>
        <v>0.000164835164835165</v>
      </c>
      <c r="AW90" s="0" t="n">
        <f aca="false">$B90/AW$1</f>
        <v>0.000161290322580645</v>
      </c>
      <c r="AX90" s="0" t="n">
        <f aca="false">$B90/AX$1</f>
        <v>0.000157894736842105</v>
      </c>
      <c r="AY90" s="0" t="n">
        <f aca="false">$B90/AY$1</f>
        <v>0.000154639175257732</v>
      </c>
      <c r="AZ90" s="0" t="n">
        <f aca="false">$B90/AZ$1</f>
        <v>0.000151515151515152</v>
      </c>
      <c r="BA90" s="0" t="n">
        <f aca="false">$B90/BA$1</f>
        <v>0.000148514851485149</v>
      </c>
      <c r="BB90" s="0" t="n">
        <f aca="false">$B90/BB$1</f>
        <v>0.000145631067961165</v>
      </c>
      <c r="BC90" s="0" t="n">
        <f aca="false">$B90/BC$1</f>
        <v>0.000142857142857143</v>
      </c>
      <c r="BD90" s="0" t="n">
        <f aca="false">$B90/BD$1</f>
        <v>0.00014018691588785</v>
      </c>
      <c r="BE90" s="0" t="n">
        <f aca="false">$B90/BE$1</f>
        <v>0.000137614678899083</v>
      </c>
      <c r="BF90" s="0" t="n">
        <f aca="false">$B90/BF$1</f>
        <v>0.000135135135135135</v>
      </c>
      <c r="BG90" s="0" t="n">
        <f aca="false">$B90/BG$1</f>
        <v>0.000132743362831858</v>
      </c>
      <c r="BH90" s="0" t="n">
        <f aca="false">$B90/BH$1</f>
        <v>0.000130434782608696</v>
      </c>
      <c r="BI90" s="0" t="n">
        <f aca="false">$B90/BI$1</f>
        <v>0.000128205128205128</v>
      </c>
      <c r="BJ90" s="0" t="n">
        <f aca="false">$B90/BJ$1</f>
        <v>0.000126050420168067</v>
      </c>
      <c r="BL90" s="0" t="n">
        <f aca="false">IF($B$84=1,COUNTIF(C90:BJ90,"&gt;="&amp;$C$84),0)</f>
        <v>2</v>
      </c>
      <c r="BM90" s="0" t="n">
        <f aca="false">IF($B$84=1,IF(OR(BS90&gt;=Settings!$B$5,Settings!$C$19&gt;0),MAX(BL90,Settings!$C$19),0),0)</f>
        <v>4</v>
      </c>
      <c r="BN90" s="0" t="n">
        <f aca="false">IF($B$84=1,IF(OR(BS90&gt;=Settings!$B$5,Settings!$C$19&gt;0),MAX(0,(2*MAX(BL90,Settings!$C$19)+1)*$C$84-BS90),MAX(0,Settings!$B$5-BS90)),"")</f>
        <v>0.0227027027027027</v>
      </c>
      <c r="BO90" s="0" t="str">
        <f aca="false">IF($B$84=1,IF(OR(BS90&gt;=Settings!$B$5,Settings!$C$19&gt;0),IF(BL90&lt;=Settings!$C$19,"Protected by electorates",IF(Settings!$C$19=0,MIN(BS90-(2*BL90-1)*$D$84,BS90-Settings!$B$5),BS90-(2*BL90-1)*$D$84)),""),"")</f>
        <v>Protected by electorates</v>
      </c>
      <c r="BP90" s="0" t="n">
        <f aca="false">IF($B$84=1,IF(OR(BS90&gt;=Settings!$B$5,Settings!$C$19&gt;0),MAX(0,MIN(1,(BS90/$C$84-(2*MAX(BL90,Settings!$C$19)-1))/2)),MIN(1,BS90/Settings!$B$5)),"")</f>
        <v>0</v>
      </c>
      <c r="BQ90" s="0" t="n">
        <f aca="false">IF(AND($B$84=1,COUNTIF(C90:BJ90,$C$84)&gt;0),1,0)</f>
        <v>0</v>
      </c>
      <c r="BR90" s="0" t="n">
        <f aca="false">IF(AND($B$84=1,COUNTIF(C90:BJ90,$D$84)&gt;0),1,0)</f>
        <v>0</v>
      </c>
      <c r="BS90" s="0" t="n">
        <f aca="false">N(IF(Polls!M15="",Polls!M37,Polls!M15))</f>
        <v>0.015</v>
      </c>
      <c r="BT90" s="0" t="str">
        <f aca="false">IF(OR(BS90&gt;=Settings!$B$5,Settings!$C$19&gt;0),"Next seat","Threshold")</f>
        <v>Next seat</v>
      </c>
    </row>
    <row r="91" customFormat="false" ht="15" hidden="false" customHeight="false" outlineLevel="0" collapsed="false">
      <c r="A91" s="0" t="s">
        <v>52</v>
      </c>
      <c r="B91" s="0" t="n">
        <f aca="false">IF(OR(BS91&gt;=Settings!$B$5,Settings!$C$20&gt;0),BS91,0)</f>
        <v>0.095</v>
      </c>
      <c r="C91" s="0" t="n">
        <f aca="false">$B91/C$1</f>
        <v>0.095</v>
      </c>
      <c r="D91" s="0" t="n">
        <f aca="false">$B91/D$1</f>
        <v>0.0316666666666667</v>
      </c>
      <c r="E91" s="0" t="n">
        <f aca="false">$B91/E$1</f>
        <v>0.019</v>
      </c>
      <c r="F91" s="0" t="n">
        <f aca="false">$B91/F$1</f>
        <v>0.0135714285714286</v>
      </c>
      <c r="G91" s="0" t="n">
        <f aca="false">$B91/G$1</f>
        <v>0.0105555555555556</v>
      </c>
      <c r="H91" s="0" t="n">
        <f aca="false">$B91/H$1</f>
        <v>0.00863636363636364</v>
      </c>
      <c r="I91" s="0" t="n">
        <f aca="false">$B91/I$1</f>
        <v>0.00730769230769231</v>
      </c>
      <c r="J91" s="0" t="n">
        <f aca="false">$B91/J$1</f>
        <v>0.00633333333333333</v>
      </c>
      <c r="K91" s="0" t="n">
        <f aca="false">$B91/K$1</f>
        <v>0.00558823529411765</v>
      </c>
      <c r="L91" s="0" t="n">
        <f aca="false">$B91/L$1</f>
        <v>0.005</v>
      </c>
      <c r="M91" s="0" t="n">
        <f aca="false">$B91/M$1</f>
        <v>0.00452380952380952</v>
      </c>
      <c r="N91" s="0" t="n">
        <f aca="false">$B91/N$1</f>
        <v>0.0041304347826087</v>
      </c>
      <c r="O91" s="0" t="n">
        <f aca="false">$B91/O$1</f>
        <v>0.0038</v>
      </c>
      <c r="P91" s="0" t="n">
        <f aca="false">$B91/P$1</f>
        <v>0.00351851851851852</v>
      </c>
      <c r="Q91" s="0" t="n">
        <f aca="false">$B91/Q$1</f>
        <v>0.00327586206896552</v>
      </c>
      <c r="R91" s="0" t="n">
        <f aca="false">$B91/R$1</f>
        <v>0.00306451612903226</v>
      </c>
      <c r="S91" s="0" t="n">
        <f aca="false">$B91/S$1</f>
        <v>0.00287878787878788</v>
      </c>
      <c r="T91" s="0" t="n">
        <f aca="false">$B91/T$1</f>
        <v>0.00271428571428571</v>
      </c>
      <c r="U91" s="0" t="n">
        <f aca="false">$B91/U$1</f>
        <v>0.00256756756756757</v>
      </c>
      <c r="V91" s="0" t="n">
        <f aca="false">$B91/V$1</f>
        <v>0.00243589743589744</v>
      </c>
      <c r="W91" s="0" t="n">
        <f aca="false">$B91/W$1</f>
        <v>0.00231707317073171</v>
      </c>
      <c r="X91" s="0" t="n">
        <f aca="false">$B91/X$1</f>
        <v>0.0022093023255814</v>
      </c>
      <c r="Y91" s="0" t="n">
        <f aca="false">$B91/Y$1</f>
        <v>0.00211111111111111</v>
      </c>
      <c r="Z91" s="0" t="n">
        <f aca="false">$B91/Z$1</f>
        <v>0.00202127659574468</v>
      </c>
      <c r="AA91" s="0" t="n">
        <f aca="false">$B91/AA$1</f>
        <v>0.00193877551020408</v>
      </c>
      <c r="AB91" s="0" t="n">
        <f aca="false">$B91/AB$1</f>
        <v>0.00186274509803922</v>
      </c>
      <c r="AC91" s="0" t="n">
        <f aca="false">$B91/AC$1</f>
        <v>0.00179245283018868</v>
      </c>
      <c r="AD91" s="0" t="n">
        <f aca="false">$B91/AD$1</f>
        <v>0.00172727272727273</v>
      </c>
      <c r="AE91" s="0" t="n">
        <f aca="false">$B91/AE$1</f>
        <v>0.00166666666666667</v>
      </c>
      <c r="AF91" s="0" t="n">
        <f aca="false">$B91/AF$1</f>
        <v>0.00161016949152542</v>
      </c>
      <c r="AG91" s="0" t="n">
        <f aca="false">$B91/AG$1</f>
        <v>0.00155737704918033</v>
      </c>
      <c r="AH91" s="0" t="n">
        <f aca="false">$B91/AH$1</f>
        <v>0.00150793650793651</v>
      </c>
      <c r="AI91" s="0" t="n">
        <f aca="false">$B91/AI$1</f>
        <v>0.00146153846153846</v>
      </c>
      <c r="AJ91" s="0" t="n">
        <f aca="false">$B91/AJ$1</f>
        <v>0.00141791044776119</v>
      </c>
      <c r="AK91" s="0" t="n">
        <f aca="false">$B91/AK$1</f>
        <v>0.0013768115942029</v>
      </c>
      <c r="AL91" s="0" t="n">
        <f aca="false">$B91/AL$1</f>
        <v>0.00133802816901408</v>
      </c>
      <c r="AM91" s="0" t="n">
        <f aca="false">$B91/AM$1</f>
        <v>0.0013013698630137</v>
      </c>
      <c r="AN91" s="0" t="n">
        <f aca="false">$B91/AN$1</f>
        <v>0.00126666666666667</v>
      </c>
      <c r="AO91" s="0" t="n">
        <f aca="false">$B91/AO$1</f>
        <v>0.00123376623376623</v>
      </c>
      <c r="AP91" s="0" t="n">
        <f aca="false">$B91/AP$1</f>
        <v>0.00120253164556962</v>
      </c>
      <c r="AQ91" s="0" t="n">
        <f aca="false">$B91/AQ$1</f>
        <v>0.00117283950617284</v>
      </c>
      <c r="AR91" s="0" t="n">
        <f aca="false">$B91/AR$1</f>
        <v>0.00114457831325301</v>
      </c>
      <c r="AS91" s="0" t="n">
        <f aca="false">$B91/AS$1</f>
        <v>0.00111764705882353</v>
      </c>
      <c r="AT91" s="0" t="n">
        <f aca="false">$B91/AT$1</f>
        <v>0.00109195402298851</v>
      </c>
      <c r="AU91" s="0" t="n">
        <f aca="false">$B91/AU$1</f>
        <v>0.00106741573033708</v>
      </c>
      <c r="AV91" s="0" t="n">
        <f aca="false">$B91/AV$1</f>
        <v>0.00104395604395604</v>
      </c>
      <c r="AW91" s="0" t="n">
        <f aca="false">$B91/AW$1</f>
        <v>0.00102150537634409</v>
      </c>
      <c r="AX91" s="0" t="n">
        <f aca="false">$B91/AX$1</f>
        <v>0.001</v>
      </c>
      <c r="AY91" s="0" t="n">
        <f aca="false">$B91/AY$1</f>
        <v>0.000979381443298969</v>
      </c>
      <c r="AZ91" s="0" t="n">
        <f aca="false">$B91/AZ$1</f>
        <v>0.00095959595959596</v>
      </c>
      <c r="BA91" s="0" t="n">
        <f aca="false">$B91/BA$1</f>
        <v>0.000940594059405941</v>
      </c>
      <c r="BB91" s="0" t="n">
        <f aca="false">$B91/BB$1</f>
        <v>0.000922330097087379</v>
      </c>
      <c r="BC91" s="0" t="n">
        <f aca="false">$B91/BC$1</f>
        <v>0.000904761904761905</v>
      </c>
      <c r="BD91" s="0" t="n">
        <f aca="false">$B91/BD$1</f>
        <v>0.00088785046728972</v>
      </c>
      <c r="BE91" s="0" t="n">
        <f aca="false">$B91/BE$1</f>
        <v>0.000871559633027523</v>
      </c>
      <c r="BF91" s="0" t="n">
        <f aca="false">$B91/BF$1</f>
        <v>0.000855855855855856</v>
      </c>
      <c r="BG91" s="0" t="n">
        <f aca="false">$B91/BG$1</f>
        <v>0.00084070796460177</v>
      </c>
      <c r="BH91" s="0" t="n">
        <f aca="false">$B91/BH$1</f>
        <v>0.000826086956521739</v>
      </c>
      <c r="BI91" s="0" t="n">
        <f aca="false">$B91/BI$1</f>
        <v>0.000811965811965812</v>
      </c>
      <c r="BJ91" s="0" t="n">
        <f aca="false">$B91/BJ$1</f>
        <v>0.000798319327731092</v>
      </c>
      <c r="BL91" s="0" t="n">
        <f aca="false">IF($B$84=1,COUNTIF(C91:BJ91,"&gt;="&amp;$C$84),0)</f>
        <v>11</v>
      </c>
      <c r="BM91" s="0" t="n">
        <f aca="false">IF($B$84=1,IF(OR(BS91&gt;=Settings!$B$5,Settings!$C$20&gt;0),MAX(BL91,Settings!$C$20),0),0)</f>
        <v>11</v>
      </c>
      <c r="BN91" s="0" t="n">
        <f aca="false">IF($B$84=1,IF(OR(BS91&gt;=Settings!$B$5,Settings!$C$20&gt;0),MAX(0,(2*MAX(BL91,Settings!$C$20)+1)*$C$84-BS91),MAX(0,Settings!$B$5-BS91)),"")</f>
        <v>0.00135135135135134</v>
      </c>
      <c r="BO91" s="0" t="n">
        <f aca="false">IF($B$84=1,IF(OR(BS91&gt;=Settings!$B$5,Settings!$C$20&gt;0),IF(BL91&lt;=Settings!$C$20,"Protected by electorates",IF(Settings!$C$20=0,MIN(BS91-(2*BL91-1)*$D$84,BS91-Settings!$B$5),BS91-(2*BL91-1)*$D$84)),""),"")</f>
        <v>0.0082</v>
      </c>
      <c r="BP91" s="0" t="n">
        <f aca="false">IF($B$84=1,IF(OR(BS91&gt;=Settings!$B$5,Settings!$C$20&gt;0),MAX(0,MIN(1,(BS91/$C$84-(2*MAX(BL91,Settings!$C$20)-1))/2)),MIN(1,BS91/Settings!$B$5)),"")</f>
        <v>0.838709677419356</v>
      </c>
      <c r="BQ91" s="0" t="n">
        <f aca="false">IF(AND($B$84=1,COUNTIF(C91:BJ91,$C$84)&gt;0),1,0)</f>
        <v>0</v>
      </c>
      <c r="BR91" s="0" t="n">
        <f aca="false">IF(AND($B$84=1,COUNTIF(C91:BJ91,$D$84)&gt;0),1,0)</f>
        <v>0</v>
      </c>
      <c r="BS91" s="0" t="n">
        <f aca="false">N(IF(Polls!N15="",Polls!N37,Polls!N15))</f>
        <v>0.095</v>
      </c>
      <c r="BT91" s="0" t="str">
        <f aca="false">IF(OR(BS91&gt;=Settings!$B$5,Settings!$C$20&gt;0),"Next seat","Threshold")</f>
        <v>Next seat</v>
      </c>
    </row>
    <row r="93" customFormat="false" ht="15" hidden="false" customHeight="false" outlineLevel="0" collapsed="false">
      <c r="A93" s="41" t="str">
        <f aca="false">Polls!A16</f>
        <v>Reid Aug</v>
      </c>
      <c r="B93" s="17" t="n">
        <f aca="false">IF(SUM(BS94:BS100)&gt;0,1,0)</f>
        <v>1</v>
      </c>
      <c r="C93" s="17" t="n">
        <f aca="false">IF(B93=1,LARGE(C94:BJ100,Settings!$B$4),0)</f>
        <v>0.00410344827586207</v>
      </c>
      <c r="D93" s="17" t="n">
        <f aca="false">IF(B93=1,LARGE(C94:BJ100,Settings!$B$4+1),0)</f>
        <v>0.00409859154929577</v>
      </c>
      <c r="E93" s="0" t="str">
        <f aca="false">IF(B93=1,IFERROR(INDEX(A94:A100,MATCH(1,BQ94:BQ100,0)),""),"")</f>
        <v>NZF</v>
      </c>
      <c r="F93" s="0" t="str">
        <f aca="false">IF(B93=1,IFERROR(INDEX(A94:A100,MATCH(1,BR94:BR100,0)),""),"")</f>
        <v>NAT</v>
      </c>
      <c r="G93" s="17" t="n">
        <f aca="false">IF(B93=1,SUM(BM94:BM100)+Settings!$B$10,"")</f>
        <v>120</v>
      </c>
    </row>
    <row r="94" customFormat="false" ht="15" hidden="false" customHeight="false" outlineLevel="0" collapsed="false">
      <c r="A94" s="0" t="s">
        <v>41</v>
      </c>
      <c r="B94" s="0" t="n">
        <f aca="false">IF(OR(BS94&gt;=Settings!$B$5,Settings!$C$14&gt;0),BS94,0)</f>
        <v>0.291</v>
      </c>
      <c r="C94" s="0" t="n">
        <f aca="false">$B94/C$1</f>
        <v>0.291</v>
      </c>
      <c r="D94" s="0" t="n">
        <f aca="false">$B94/D$1</f>
        <v>0.097</v>
      </c>
      <c r="E94" s="0" t="n">
        <f aca="false">$B94/E$1</f>
        <v>0.0582</v>
      </c>
      <c r="F94" s="0" t="n">
        <f aca="false">$B94/F$1</f>
        <v>0.0415714285714286</v>
      </c>
      <c r="G94" s="0" t="n">
        <f aca="false">$B94/G$1</f>
        <v>0.0323333333333333</v>
      </c>
      <c r="H94" s="0" t="n">
        <f aca="false">$B94/H$1</f>
        <v>0.0264545454545455</v>
      </c>
      <c r="I94" s="0" t="n">
        <f aca="false">$B94/I$1</f>
        <v>0.0223846153846154</v>
      </c>
      <c r="J94" s="0" t="n">
        <f aca="false">$B94/J$1</f>
        <v>0.0194</v>
      </c>
      <c r="K94" s="0" t="n">
        <f aca="false">$B94/K$1</f>
        <v>0.0171176470588235</v>
      </c>
      <c r="L94" s="0" t="n">
        <f aca="false">$B94/L$1</f>
        <v>0.0153157894736842</v>
      </c>
      <c r="M94" s="0" t="n">
        <f aca="false">$B94/M$1</f>
        <v>0.0138571428571429</v>
      </c>
      <c r="N94" s="0" t="n">
        <f aca="false">$B94/N$1</f>
        <v>0.0126521739130435</v>
      </c>
      <c r="O94" s="0" t="n">
        <f aca="false">$B94/O$1</f>
        <v>0.01164</v>
      </c>
      <c r="P94" s="0" t="n">
        <f aca="false">$B94/P$1</f>
        <v>0.0107777777777778</v>
      </c>
      <c r="Q94" s="0" t="n">
        <f aca="false">$B94/Q$1</f>
        <v>0.0100344827586207</v>
      </c>
      <c r="R94" s="0" t="n">
        <f aca="false">$B94/R$1</f>
        <v>0.00938709677419355</v>
      </c>
      <c r="S94" s="0" t="n">
        <f aca="false">$B94/S$1</f>
        <v>0.00881818181818182</v>
      </c>
      <c r="T94" s="0" t="n">
        <f aca="false">$B94/T$1</f>
        <v>0.00831428571428571</v>
      </c>
      <c r="U94" s="0" t="n">
        <f aca="false">$B94/U$1</f>
        <v>0.00786486486486487</v>
      </c>
      <c r="V94" s="0" t="n">
        <f aca="false">$B94/V$1</f>
        <v>0.00746153846153846</v>
      </c>
      <c r="W94" s="0" t="n">
        <f aca="false">$B94/W$1</f>
        <v>0.00709756097560976</v>
      </c>
      <c r="X94" s="0" t="n">
        <f aca="false">$B94/X$1</f>
        <v>0.00676744186046512</v>
      </c>
      <c r="Y94" s="0" t="n">
        <f aca="false">$B94/Y$1</f>
        <v>0.00646666666666667</v>
      </c>
      <c r="Z94" s="0" t="n">
        <f aca="false">$B94/Z$1</f>
        <v>0.00619148936170213</v>
      </c>
      <c r="AA94" s="0" t="n">
        <f aca="false">$B94/AA$1</f>
        <v>0.00593877551020408</v>
      </c>
      <c r="AB94" s="0" t="n">
        <f aca="false">$B94/AB$1</f>
        <v>0.00570588235294118</v>
      </c>
      <c r="AC94" s="0" t="n">
        <f aca="false">$B94/AC$1</f>
        <v>0.00549056603773585</v>
      </c>
      <c r="AD94" s="0" t="n">
        <f aca="false">$B94/AD$1</f>
        <v>0.00529090909090909</v>
      </c>
      <c r="AE94" s="0" t="n">
        <f aca="false">$B94/AE$1</f>
        <v>0.00510526315789474</v>
      </c>
      <c r="AF94" s="0" t="n">
        <f aca="false">$B94/AF$1</f>
        <v>0.00493220338983051</v>
      </c>
      <c r="AG94" s="0" t="n">
        <f aca="false">$B94/AG$1</f>
        <v>0.00477049180327869</v>
      </c>
      <c r="AH94" s="0" t="n">
        <f aca="false">$B94/AH$1</f>
        <v>0.00461904761904762</v>
      </c>
      <c r="AI94" s="0" t="n">
        <f aca="false">$B94/AI$1</f>
        <v>0.00447692307692308</v>
      </c>
      <c r="AJ94" s="0" t="n">
        <f aca="false">$B94/AJ$1</f>
        <v>0.00434328358208955</v>
      </c>
      <c r="AK94" s="0" t="n">
        <f aca="false">$B94/AK$1</f>
        <v>0.00421739130434783</v>
      </c>
      <c r="AL94" s="0" t="n">
        <f aca="false">$B94/AL$1</f>
        <v>0.00409859154929577</v>
      </c>
      <c r="AM94" s="0" t="n">
        <f aca="false">$B94/AM$1</f>
        <v>0.00398630136986301</v>
      </c>
      <c r="AN94" s="0" t="n">
        <f aca="false">$B94/AN$1</f>
        <v>0.00388</v>
      </c>
      <c r="AO94" s="0" t="n">
        <f aca="false">$B94/AO$1</f>
        <v>0.00377922077922078</v>
      </c>
      <c r="AP94" s="0" t="n">
        <f aca="false">$B94/AP$1</f>
        <v>0.00368354430379747</v>
      </c>
      <c r="AQ94" s="0" t="n">
        <f aca="false">$B94/AQ$1</f>
        <v>0.00359259259259259</v>
      </c>
      <c r="AR94" s="0" t="n">
        <f aca="false">$B94/AR$1</f>
        <v>0.00350602409638554</v>
      </c>
      <c r="AS94" s="0" t="n">
        <f aca="false">$B94/AS$1</f>
        <v>0.00342352941176471</v>
      </c>
      <c r="AT94" s="0" t="n">
        <f aca="false">$B94/AT$1</f>
        <v>0.0033448275862069</v>
      </c>
      <c r="AU94" s="0" t="n">
        <f aca="false">$B94/AU$1</f>
        <v>0.00326966292134831</v>
      </c>
      <c r="AV94" s="0" t="n">
        <f aca="false">$B94/AV$1</f>
        <v>0.0031978021978022</v>
      </c>
      <c r="AW94" s="0" t="n">
        <f aca="false">$B94/AW$1</f>
        <v>0.00312903225806452</v>
      </c>
      <c r="AX94" s="0" t="n">
        <f aca="false">$B94/AX$1</f>
        <v>0.00306315789473684</v>
      </c>
      <c r="AY94" s="0" t="n">
        <f aca="false">$B94/AY$1</f>
        <v>0.003</v>
      </c>
      <c r="AZ94" s="0" t="n">
        <f aca="false">$B94/AZ$1</f>
        <v>0.00293939393939394</v>
      </c>
      <c r="BA94" s="0" t="n">
        <f aca="false">$B94/BA$1</f>
        <v>0.00288118811881188</v>
      </c>
      <c r="BB94" s="0" t="n">
        <f aca="false">$B94/BB$1</f>
        <v>0.0028252427184466</v>
      </c>
      <c r="BC94" s="0" t="n">
        <f aca="false">$B94/BC$1</f>
        <v>0.00277142857142857</v>
      </c>
      <c r="BD94" s="0" t="n">
        <f aca="false">$B94/BD$1</f>
        <v>0.0027196261682243</v>
      </c>
      <c r="BE94" s="0" t="n">
        <f aca="false">$B94/BE$1</f>
        <v>0.0026697247706422</v>
      </c>
      <c r="BF94" s="0" t="n">
        <f aca="false">$B94/BF$1</f>
        <v>0.00262162162162162</v>
      </c>
      <c r="BG94" s="0" t="n">
        <f aca="false">$B94/BG$1</f>
        <v>0.00257522123893805</v>
      </c>
      <c r="BH94" s="0" t="n">
        <f aca="false">$B94/BH$1</f>
        <v>0.0025304347826087</v>
      </c>
      <c r="BI94" s="0" t="n">
        <f aca="false">$B94/BI$1</f>
        <v>0.00248717948717949</v>
      </c>
      <c r="BJ94" s="0" t="n">
        <f aca="false">$B94/BJ$1</f>
        <v>0.0024453781512605</v>
      </c>
      <c r="BL94" s="0" t="n">
        <f aca="false">IF($B$93=1,COUNTIF(C94:BJ94,"&gt;="&amp;$C$93),0)</f>
        <v>35</v>
      </c>
      <c r="BM94" s="0" t="n">
        <f aca="false">IF($B$93=1,IF(OR(BS94&gt;=Settings!$B$5,Settings!$C$14&gt;0),MAX(BL94,Settings!$C$14),0),0)</f>
        <v>35</v>
      </c>
      <c r="BN94" s="0" t="n">
        <f aca="false">IF($B$93=1,IF(OR(BS94&gt;=Settings!$B$5,Settings!$C$14&gt;0),MAX(0,(2*MAX(BL94,Settings!$C$14)+1)*$C$93-BS94),MAX(0,Settings!$B$5-BS94)),"")</f>
        <v>0.000344827586206853</v>
      </c>
      <c r="BO94" s="0" t="n">
        <f aca="false">IF($B$93=1,IF(OR(BS94&gt;=Settings!$B$5,Settings!$C$14&gt;0),IF(BL94&lt;=Settings!$C$14,"Protected by electorates",IF(Settings!$C$14=0,MIN(BS94-(2*BL94-1)*$D$93,BS94-Settings!$B$5),BS94-(2*BL94-1)*$D$93)),""),"")</f>
        <v>0.00819718309859158</v>
      </c>
      <c r="BP94" s="0" t="n">
        <f aca="false">IF($B$93=1,IF(OR(BS94&gt;=Settings!$B$5,Settings!$C$14&gt;0),MAX(0,MIN(1,(BS94/$C$93-(2*MAX(BL94,Settings!$C$14)-1))/2)),MIN(1,BS94/Settings!$B$5)),"")</f>
        <v>0.957983193277315</v>
      </c>
      <c r="BQ94" s="0" t="n">
        <f aca="false">IF(AND($B$93=1,COUNTIF(C94:BJ94,$C$93)&gt;0),1,0)</f>
        <v>0</v>
      </c>
      <c r="BR94" s="0" t="n">
        <f aca="false">IF(AND($B$93=1,COUNTIF(C94:BJ94,$D$93)&gt;0),1,0)</f>
        <v>1</v>
      </c>
      <c r="BS94" s="0" t="n">
        <f aca="false">N(IF(Polls!H16="",Polls!H37,Polls!H16))</f>
        <v>0.291</v>
      </c>
      <c r="BT94" s="0" t="str">
        <f aca="false">IF(OR(BS94&gt;=Settings!$B$5,Settings!$C$14&gt;0),"Next seat","Threshold")</f>
        <v>Next seat</v>
      </c>
    </row>
    <row r="95" customFormat="false" ht="15" hidden="false" customHeight="false" outlineLevel="0" collapsed="false">
      <c r="A95" s="0" t="s">
        <v>43</v>
      </c>
      <c r="B95" s="0" t="n">
        <f aca="false">IF(OR(BS95&gt;=Settings!$B$5,Settings!$C$15&gt;0),BS95,0)</f>
        <v>0.322</v>
      </c>
      <c r="C95" s="0" t="n">
        <f aca="false">$B95/C$1</f>
        <v>0.322</v>
      </c>
      <c r="D95" s="0" t="n">
        <f aca="false">$B95/D$1</f>
        <v>0.107333333333333</v>
      </c>
      <c r="E95" s="0" t="n">
        <f aca="false">$B95/E$1</f>
        <v>0.0644</v>
      </c>
      <c r="F95" s="0" t="n">
        <f aca="false">$B95/F$1</f>
        <v>0.046</v>
      </c>
      <c r="G95" s="0" t="n">
        <f aca="false">$B95/G$1</f>
        <v>0.0357777777777778</v>
      </c>
      <c r="H95" s="0" t="n">
        <f aca="false">$B95/H$1</f>
        <v>0.0292727272727273</v>
      </c>
      <c r="I95" s="0" t="n">
        <f aca="false">$B95/I$1</f>
        <v>0.0247692307692308</v>
      </c>
      <c r="J95" s="0" t="n">
        <f aca="false">$B95/J$1</f>
        <v>0.0214666666666667</v>
      </c>
      <c r="K95" s="0" t="n">
        <f aca="false">$B95/K$1</f>
        <v>0.0189411764705882</v>
      </c>
      <c r="L95" s="0" t="n">
        <f aca="false">$B95/L$1</f>
        <v>0.0169473684210526</v>
      </c>
      <c r="M95" s="0" t="n">
        <f aca="false">$B95/M$1</f>
        <v>0.0153333333333333</v>
      </c>
      <c r="N95" s="0" t="n">
        <f aca="false">$B95/N$1</f>
        <v>0.014</v>
      </c>
      <c r="O95" s="0" t="n">
        <f aca="false">$B95/O$1</f>
        <v>0.01288</v>
      </c>
      <c r="P95" s="0" t="n">
        <f aca="false">$B95/P$1</f>
        <v>0.0119259259259259</v>
      </c>
      <c r="Q95" s="0" t="n">
        <f aca="false">$B95/Q$1</f>
        <v>0.0111034482758621</v>
      </c>
      <c r="R95" s="0" t="n">
        <f aca="false">$B95/R$1</f>
        <v>0.0103870967741935</v>
      </c>
      <c r="S95" s="0" t="n">
        <f aca="false">$B95/S$1</f>
        <v>0.00975757575757576</v>
      </c>
      <c r="T95" s="0" t="n">
        <f aca="false">$B95/T$1</f>
        <v>0.0092</v>
      </c>
      <c r="U95" s="0" t="n">
        <f aca="false">$B95/U$1</f>
        <v>0.0087027027027027</v>
      </c>
      <c r="V95" s="0" t="n">
        <f aca="false">$B95/V$1</f>
        <v>0.00825641025641026</v>
      </c>
      <c r="W95" s="0" t="n">
        <f aca="false">$B95/W$1</f>
        <v>0.00785365853658537</v>
      </c>
      <c r="X95" s="0" t="n">
        <f aca="false">$B95/X$1</f>
        <v>0.00748837209302326</v>
      </c>
      <c r="Y95" s="0" t="n">
        <f aca="false">$B95/Y$1</f>
        <v>0.00715555555555556</v>
      </c>
      <c r="Z95" s="0" t="n">
        <f aca="false">$B95/Z$1</f>
        <v>0.00685106382978723</v>
      </c>
      <c r="AA95" s="0" t="n">
        <f aca="false">$B95/AA$1</f>
        <v>0.00657142857142857</v>
      </c>
      <c r="AB95" s="0" t="n">
        <f aca="false">$B95/AB$1</f>
        <v>0.00631372549019608</v>
      </c>
      <c r="AC95" s="0" t="n">
        <f aca="false">$B95/AC$1</f>
        <v>0.00607547169811321</v>
      </c>
      <c r="AD95" s="0" t="n">
        <f aca="false">$B95/AD$1</f>
        <v>0.00585454545454545</v>
      </c>
      <c r="AE95" s="0" t="n">
        <f aca="false">$B95/AE$1</f>
        <v>0.00564912280701754</v>
      </c>
      <c r="AF95" s="0" t="n">
        <f aca="false">$B95/AF$1</f>
        <v>0.00545762711864407</v>
      </c>
      <c r="AG95" s="0" t="n">
        <f aca="false">$B95/AG$1</f>
        <v>0.00527868852459016</v>
      </c>
      <c r="AH95" s="0" t="n">
        <f aca="false">$B95/AH$1</f>
        <v>0.00511111111111111</v>
      </c>
      <c r="AI95" s="0" t="n">
        <f aca="false">$B95/AI$1</f>
        <v>0.00495384615384615</v>
      </c>
      <c r="AJ95" s="0" t="n">
        <f aca="false">$B95/AJ$1</f>
        <v>0.00480597014925373</v>
      </c>
      <c r="AK95" s="0" t="n">
        <f aca="false">$B95/AK$1</f>
        <v>0.00466666666666667</v>
      </c>
      <c r="AL95" s="0" t="n">
        <f aca="false">$B95/AL$1</f>
        <v>0.00453521126760563</v>
      </c>
      <c r="AM95" s="0" t="n">
        <f aca="false">$B95/AM$1</f>
        <v>0.00441095890410959</v>
      </c>
      <c r="AN95" s="0" t="n">
        <f aca="false">$B95/AN$1</f>
        <v>0.00429333333333333</v>
      </c>
      <c r="AO95" s="0" t="n">
        <f aca="false">$B95/AO$1</f>
        <v>0.00418181818181818</v>
      </c>
      <c r="AP95" s="0" t="n">
        <f aca="false">$B95/AP$1</f>
        <v>0.00407594936708861</v>
      </c>
      <c r="AQ95" s="0" t="n">
        <f aca="false">$B95/AQ$1</f>
        <v>0.00397530864197531</v>
      </c>
      <c r="AR95" s="0" t="n">
        <f aca="false">$B95/AR$1</f>
        <v>0.00387951807228916</v>
      </c>
      <c r="AS95" s="0" t="n">
        <f aca="false">$B95/AS$1</f>
        <v>0.00378823529411765</v>
      </c>
      <c r="AT95" s="0" t="n">
        <f aca="false">$B95/AT$1</f>
        <v>0.00370114942528736</v>
      </c>
      <c r="AU95" s="0" t="n">
        <f aca="false">$B95/AU$1</f>
        <v>0.00361797752808989</v>
      </c>
      <c r="AV95" s="0" t="n">
        <f aca="false">$B95/AV$1</f>
        <v>0.00353846153846154</v>
      </c>
      <c r="AW95" s="0" t="n">
        <f aca="false">$B95/AW$1</f>
        <v>0.00346236559139785</v>
      </c>
      <c r="AX95" s="0" t="n">
        <f aca="false">$B95/AX$1</f>
        <v>0.00338947368421053</v>
      </c>
      <c r="AY95" s="0" t="n">
        <f aca="false">$B95/AY$1</f>
        <v>0.00331958762886598</v>
      </c>
      <c r="AZ95" s="0" t="n">
        <f aca="false">$B95/AZ$1</f>
        <v>0.00325252525252525</v>
      </c>
      <c r="BA95" s="0" t="n">
        <f aca="false">$B95/BA$1</f>
        <v>0.00318811881188119</v>
      </c>
      <c r="BB95" s="0" t="n">
        <f aca="false">$B95/BB$1</f>
        <v>0.00312621359223301</v>
      </c>
      <c r="BC95" s="0" t="n">
        <f aca="false">$B95/BC$1</f>
        <v>0.00306666666666667</v>
      </c>
      <c r="BD95" s="0" t="n">
        <f aca="false">$B95/BD$1</f>
        <v>0.00300934579439252</v>
      </c>
      <c r="BE95" s="0" t="n">
        <f aca="false">$B95/BE$1</f>
        <v>0.00295412844036697</v>
      </c>
      <c r="BF95" s="0" t="n">
        <f aca="false">$B95/BF$1</f>
        <v>0.0029009009009009</v>
      </c>
      <c r="BG95" s="0" t="n">
        <f aca="false">$B95/BG$1</f>
        <v>0.00284955752212389</v>
      </c>
      <c r="BH95" s="0" t="n">
        <f aca="false">$B95/BH$1</f>
        <v>0.0028</v>
      </c>
      <c r="BI95" s="0" t="n">
        <f aca="false">$B95/BI$1</f>
        <v>0.00275213675213675</v>
      </c>
      <c r="BJ95" s="0" t="n">
        <f aca="false">$B95/BJ$1</f>
        <v>0.00270588235294118</v>
      </c>
      <c r="BL95" s="0" t="n">
        <f aca="false">IF($B$93=1,COUNTIF(C95:BJ95,"&gt;="&amp;$C$93),0)</f>
        <v>39</v>
      </c>
      <c r="BM95" s="0" t="n">
        <f aca="false">IF($B$93=1,IF(OR(BS95&gt;=Settings!$B$5,Settings!$C$15&gt;0),MAX(BL95,Settings!$C$15),0),0)</f>
        <v>39</v>
      </c>
      <c r="BN95" s="0" t="n">
        <f aca="false">IF($B$93=1,IF(OR(BS95&gt;=Settings!$B$5,Settings!$C$15&gt;0),MAX(0,(2*MAX(BL95,Settings!$C$15)+1)*$C$93-BS95),MAX(0,Settings!$B$5-BS95)),"")</f>
        <v>0.0021724137931034</v>
      </c>
      <c r="BO95" s="0" t="n">
        <f aca="false">IF($B$93=1,IF(OR(BS95&gt;=Settings!$B$5,Settings!$C$15&gt;0),IF(BL95&lt;=Settings!$C$15,"Protected by electorates",IF(Settings!$C$15=0,MIN(BS95-(2*BL95-1)*$D$93,BS95-Settings!$B$5),BS95-(2*BL95-1)*$D$93)),""),"")</f>
        <v>0.00640845070422541</v>
      </c>
      <c r="BP95" s="0" t="n">
        <f aca="false">IF($B$93=1,IF(OR(BS95&gt;=Settings!$B$5,Settings!$C$15&gt;0),MAX(0,MIN(1,(BS95/$C$93-(2*MAX(BL95,Settings!$C$15)-1))/2)),MIN(1,BS95/Settings!$B$5)),"")</f>
        <v>0.735294117647065</v>
      </c>
      <c r="BQ95" s="0" t="n">
        <f aca="false">IF(AND($B$93=1,COUNTIF(C95:BJ95,$C$93)&gt;0),1,0)</f>
        <v>0</v>
      </c>
      <c r="BR95" s="0" t="n">
        <f aca="false">IF(AND($B$93=1,COUNTIF(C95:BJ95,$D$93)&gt;0),1,0)</f>
        <v>0</v>
      </c>
      <c r="BS95" s="0" t="n">
        <f aca="false">N(IF(Polls!I16="",Polls!I37,Polls!I16))</f>
        <v>0.322</v>
      </c>
      <c r="BT95" s="0" t="str">
        <f aca="false">IF(OR(BS95&gt;=Settings!$B$5,Settings!$C$15&gt;0),"Next seat","Threshold")</f>
        <v>Next seat</v>
      </c>
    </row>
    <row r="96" customFormat="false" ht="15" hidden="false" customHeight="false" outlineLevel="0" collapsed="false">
      <c r="A96" s="0" t="s">
        <v>45</v>
      </c>
      <c r="B96" s="0" t="n">
        <f aca="false">IF(OR(BS96&gt;=Settings!$B$5,Settings!$C$16&gt;0),BS96,0)</f>
        <v>0.102</v>
      </c>
      <c r="C96" s="0" t="n">
        <f aca="false">$B96/C$1</f>
        <v>0.102</v>
      </c>
      <c r="D96" s="0" t="n">
        <f aca="false">$B96/D$1</f>
        <v>0.034</v>
      </c>
      <c r="E96" s="0" t="n">
        <f aca="false">$B96/E$1</f>
        <v>0.0204</v>
      </c>
      <c r="F96" s="0" t="n">
        <f aca="false">$B96/F$1</f>
        <v>0.0145714285714286</v>
      </c>
      <c r="G96" s="0" t="n">
        <f aca="false">$B96/G$1</f>
        <v>0.0113333333333333</v>
      </c>
      <c r="H96" s="0" t="n">
        <f aca="false">$B96/H$1</f>
        <v>0.00927272727272727</v>
      </c>
      <c r="I96" s="0" t="n">
        <f aca="false">$B96/I$1</f>
        <v>0.00784615384615385</v>
      </c>
      <c r="J96" s="0" t="n">
        <f aca="false">$B96/J$1</f>
        <v>0.0068</v>
      </c>
      <c r="K96" s="0" t="n">
        <f aca="false">$B96/K$1</f>
        <v>0.006</v>
      </c>
      <c r="L96" s="0" t="n">
        <f aca="false">$B96/L$1</f>
        <v>0.00536842105263158</v>
      </c>
      <c r="M96" s="0" t="n">
        <f aca="false">$B96/M$1</f>
        <v>0.00485714285714286</v>
      </c>
      <c r="N96" s="0" t="n">
        <f aca="false">$B96/N$1</f>
        <v>0.00443478260869565</v>
      </c>
      <c r="O96" s="0" t="n">
        <f aca="false">$B96/O$1</f>
        <v>0.00408</v>
      </c>
      <c r="P96" s="0" t="n">
        <f aca="false">$B96/P$1</f>
        <v>0.00377777777777778</v>
      </c>
      <c r="Q96" s="0" t="n">
        <f aca="false">$B96/Q$1</f>
        <v>0.00351724137931035</v>
      </c>
      <c r="R96" s="0" t="n">
        <f aca="false">$B96/R$1</f>
        <v>0.00329032258064516</v>
      </c>
      <c r="S96" s="0" t="n">
        <f aca="false">$B96/S$1</f>
        <v>0.00309090909090909</v>
      </c>
      <c r="T96" s="0" t="n">
        <f aca="false">$B96/T$1</f>
        <v>0.00291428571428571</v>
      </c>
      <c r="U96" s="0" t="n">
        <f aca="false">$B96/U$1</f>
        <v>0.00275675675675676</v>
      </c>
      <c r="V96" s="0" t="n">
        <f aca="false">$B96/V$1</f>
        <v>0.00261538461538462</v>
      </c>
      <c r="W96" s="0" t="n">
        <f aca="false">$B96/W$1</f>
        <v>0.00248780487804878</v>
      </c>
      <c r="X96" s="0" t="n">
        <f aca="false">$B96/X$1</f>
        <v>0.00237209302325581</v>
      </c>
      <c r="Y96" s="0" t="n">
        <f aca="false">$B96/Y$1</f>
        <v>0.00226666666666667</v>
      </c>
      <c r="Z96" s="0" t="n">
        <f aca="false">$B96/Z$1</f>
        <v>0.00217021276595745</v>
      </c>
      <c r="AA96" s="0" t="n">
        <f aca="false">$B96/AA$1</f>
        <v>0.00208163265306122</v>
      </c>
      <c r="AB96" s="0" t="n">
        <f aca="false">$B96/AB$1</f>
        <v>0.002</v>
      </c>
      <c r="AC96" s="0" t="n">
        <f aca="false">$B96/AC$1</f>
        <v>0.00192452830188679</v>
      </c>
      <c r="AD96" s="0" t="n">
        <f aca="false">$B96/AD$1</f>
        <v>0.00185454545454545</v>
      </c>
      <c r="AE96" s="0" t="n">
        <f aca="false">$B96/AE$1</f>
        <v>0.00178947368421053</v>
      </c>
      <c r="AF96" s="0" t="n">
        <f aca="false">$B96/AF$1</f>
        <v>0.00172881355932203</v>
      </c>
      <c r="AG96" s="0" t="n">
        <f aca="false">$B96/AG$1</f>
        <v>0.00167213114754098</v>
      </c>
      <c r="AH96" s="0" t="n">
        <f aca="false">$B96/AH$1</f>
        <v>0.00161904761904762</v>
      </c>
      <c r="AI96" s="0" t="n">
        <f aca="false">$B96/AI$1</f>
        <v>0.00156923076923077</v>
      </c>
      <c r="AJ96" s="0" t="n">
        <f aca="false">$B96/AJ$1</f>
        <v>0.00152238805970149</v>
      </c>
      <c r="AK96" s="0" t="n">
        <f aca="false">$B96/AK$1</f>
        <v>0.00147826086956522</v>
      </c>
      <c r="AL96" s="0" t="n">
        <f aca="false">$B96/AL$1</f>
        <v>0.00143661971830986</v>
      </c>
      <c r="AM96" s="0" t="n">
        <f aca="false">$B96/AM$1</f>
        <v>0.0013972602739726</v>
      </c>
      <c r="AN96" s="0" t="n">
        <f aca="false">$B96/AN$1</f>
        <v>0.00136</v>
      </c>
      <c r="AO96" s="0" t="n">
        <f aca="false">$B96/AO$1</f>
        <v>0.00132467532467532</v>
      </c>
      <c r="AP96" s="0" t="n">
        <f aca="false">$B96/AP$1</f>
        <v>0.00129113924050633</v>
      </c>
      <c r="AQ96" s="0" t="n">
        <f aca="false">$B96/AQ$1</f>
        <v>0.00125925925925926</v>
      </c>
      <c r="AR96" s="0" t="n">
        <f aca="false">$B96/AR$1</f>
        <v>0.0012289156626506</v>
      </c>
      <c r="AS96" s="0" t="n">
        <f aca="false">$B96/AS$1</f>
        <v>0.0012</v>
      </c>
      <c r="AT96" s="0" t="n">
        <f aca="false">$B96/AT$1</f>
        <v>0.00117241379310345</v>
      </c>
      <c r="AU96" s="0" t="n">
        <f aca="false">$B96/AU$1</f>
        <v>0.00114606741573034</v>
      </c>
      <c r="AV96" s="0" t="n">
        <f aca="false">$B96/AV$1</f>
        <v>0.00112087912087912</v>
      </c>
      <c r="AW96" s="0" t="n">
        <f aca="false">$B96/AW$1</f>
        <v>0.00109677419354839</v>
      </c>
      <c r="AX96" s="0" t="n">
        <f aca="false">$B96/AX$1</f>
        <v>0.00107368421052632</v>
      </c>
      <c r="AY96" s="0" t="n">
        <f aca="false">$B96/AY$1</f>
        <v>0.00105154639175258</v>
      </c>
      <c r="AZ96" s="0" t="n">
        <f aca="false">$B96/AZ$1</f>
        <v>0.00103030303030303</v>
      </c>
      <c r="BA96" s="0" t="n">
        <f aca="false">$B96/BA$1</f>
        <v>0.00100990099009901</v>
      </c>
      <c r="BB96" s="0" t="n">
        <f aca="false">$B96/BB$1</f>
        <v>0.000990291262135922</v>
      </c>
      <c r="BC96" s="0" t="n">
        <f aca="false">$B96/BC$1</f>
        <v>0.000971428571428571</v>
      </c>
      <c r="BD96" s="0" t="n">
        <f aca="false">$B96/BD$1</f>
        <v>0.000953271028037383</v>
      </c>
      <c r="BE96" s="0" t="n">
        <f aca="false">$B96/BE$1</f>
        <v>0.000935779816513761</v>
      </c>
      <c r="BF96" s="0" t="n">
        <f aca="false">$B96/BF$1</f>
        <v>0.000918918918918919</v>
      </c>
      <c r="BG96" s="0" t="n">
        <f aca="false">$B96/BG$1</f>
        <v>0.000902654867256637</v>
      </c>
      <c r="BH96" s="0" t="n">
        <f aca="false">$B96/BH$1</f>
        <v>0.00088695652173913</v>
      </c>
      <c r="BI96" s="0" t="n">
        <f aca="false">$B96/BI$1</f>
        <v>0.000871794871794872</v>
      </c>
      <c r="BJ96" s="0" t="n">
        <f aca="false">$B96/BJ$1</f>
        <v>0.000857142857142857</v>
      </c>
      <c r="BL96" s="0" t="n">
        <f aca="false">IF($B$93=1,COUNTIF(C96:BJ96,"&gt;="&amp;$C$93),0)</f>
        <v>12</v>
      </c>
      <c r="BM96" s="0" t="n">
        <f aca="false">IF($B$93=1,IF(OR(BS96&gt;=Settings!$B$5,Settings!$C$16&gt;0),MAX(BL96,Settings!$C$16),0),0)</f>
        <v>12</v>
      </c>
      <c r="BN96" s="0" t="n">
        <f aca="false">IF($B$93=1,IF(OR(BS96&gt;=Settings!$B$5,Settings!$C$16&gt;0),MAX(0,(2*MAX(BL96,Settings!$C$16)+1)*$C$93-BS96),MAX(0,Settings!$B$5-BS96)),"")</f>
        <v>0.000586206896551714</v>
      </c>
      <c r="BO96" s="0" t="n">
        <f aca="false">IF($B$93=1,IF(OR(BS96&gt;=Settings!$B$5,Settings!$C$16&gt;0),IF(BL96&lt;=Settings!$C$16,"Protected by electorates",IF(Settings!$C$16=0,MIN(BS96-(2*BL96-1)*$D$93,BS96-Settings!$B$5),BS96-(2*BL96-1)*$D$93)),""),"")</f>
        <v>0.00773239436619719</v>
      </c>
      <c r="BP96" s="0" t="n">
        <f aca="false">IF($B$93=1,IF(OR(BS96&gt;=Settings!$B$5,Settings!$C$16&gt;0),MAX(0,MIN(1,(BS96/$C$93-(2*MAX(BL96,Settings!$C$16)-1))/2)),MIN(1,BS96/Settings!$B$5)),"")</f>
        <v>0.928571428571429</v>
      </c>
      <c r="BQ96" s="0" t="n">
        <f aca="false">IF(AND($B$93=1,COUNTIF(C96:BJ96,$C$93)&gt;0),1,0)</f>
        <v>0</v>
      </c>
      <c r="BR96" s="0" t="n">
        <f aca="false">IF(AND($B$93=1,COUNTIF(C96:BJ96,$D$93)&gt;0),1,0)</f>
        <v>0</v>
      </c>
      <c r="BS96" s="0" t="n">
        <f aca="false">N(IF(Polls!J16="",Polls!J37,Polls!J16))</f>
        <v>0.102</v>
      </c>
      <c r="BT96" s="0" t="str">
        <f aca="false">IF(OR(BS96&gt;=Settings!$B$5,Settings!$C$16&gt;0),"Next seat","Threshold")</f>
        <v>Next seat</v>
      </c>
    </row>
    <row r="97" customFormat="false" ht="15" hidden="false" customHeight="false" outlineLevel="0" collapsed="false">
      <c r="A97" s="0" t="s">
        <v>46</v>
      </c>
      <c r="B97" s="0" t="n">
        <f aca="false">IF(OR(BS97&gt;=Settings!$B$5,Settings!$C$17&gt;0),BS97,0)</f>
        <v>0.077</v>
      </c>
      <c r="C97" s="0" t="n">
        <f aca="false">$B97/C$1</f>
        <v>0.077</v>
      </c>
      <c r="D97" s="0" t="n">
        <f aca="false">$B97/D$1</f>
        <v>0.0256666666666667</v>
      </c>
      <c r="E97" s="0" t="n">
        <f aca="false">$B97/E$1</f>
        <v>0.0154</v>
      </c>
      <c r="F97" s="0" t="n">
        <f aca="false">$B97/F$1</f>
        <v>0.011</v>
      </c>
      <c r="G97" s="0" t="n">
        <f aca="false">$B97/G$1</f>
        <v>0.00855555555555556</v>
      </c>
      <c r="H97" s="0" t="n">
        <f aca="false">$B97/H$1</f>
        <v>0.007</v>
      </c>
      <c r="I97" s="0" t="n">
        <f aca="false">$B97/I$1</f>
        <v>0.00592307692307692</v>
      </c>
      <c r="J97" s="0" t="n">
        <f aca="false">$B97/J$1</f>
        <v>0.00513333333333333</v>
      </c>
      <c r="K97" s="0" t="n">
        <f aca="false">$B97/K$1</f>
        <v>0.00452941176470588</v>
      </c>
      <c r="L97" s="0" t="n">
        <f aca="false">$B97/L$1</f>
        <v>0.00405263157894737</v>
      </c>
      <c r="M97" s="0" t="n">
        <f aca="false">$B97/M$1</f>
        <v>0.00366666666666667</v>
      </c>
      <c r="N97" s="0" t="n">
        <f aca="false">$B97/N$1</f>
        <v>0.00334782608695652</v>
      </c>
      <c r="O97" s="0" t="n">
        <f aca="false">$B97/O$1</f>
        <v>0.00308</v>
      </c>
      <c r="P97" s="0" t="n">
        <f aca="false">$B97/P$1</f>
        <v>0.00285185185185185</v>
      </c>
      <c r="Q97" s="0" t="n">
        <f aca="false">$B97/Q$1</f>
        <v>0.0026551724137931</v>
      </c>
      <c r="R97" s="0" t="n">
        <f aca="false">$B97/R$1</f>
        <v>0.00248387096774194</v>
      </c>
      <c r="S97" s="0" t="n">
        <f aca="false">$B97/S$1</f>
        <v>0.00233333333333333</v>
      </c>
      <c r="T97" s="0" t="n">
        <f aca="false">$B97/T$1</f>
        <v>0.0022</v>
      </c>
      <c r="U97" s="0" t="n">
        <f aca="false">$B97/U$1</f>
        <v>0.00208108108108108</v>
      </c>
      <c r="V97" s="0" t="n">
        <f aca="false">$B97/V$1</f>
        <v>0.00197435897435897</v>
      </c>
      <c r="W97" s="0" t="n">
        <f aca="false">$B97/W$1</f>
        <v>0.0018780487804878</v>
      </c>
      <c r="X97" s="0" t="n">
        <f aca="false">$B97/X$1</f>
        <v>0.0017906976744186</v>
      </c>
      <c r="Y97" s="0" t="n">
        <f aca="false">$B97/Y$1</f>
        <v>0.00171111111111111</v>
      </c>
      <c r="Z97" s="0" t="n">
        <f aca="false">$B97/Z$1</f>
        <v>0.00163829787234043</v>
      </c>
      <c r="AA97" s="0" t="n">
        <f aca="false">$B97/AA$1</f>
        <v>0.00157142857142857</v>
      </c>
      <c r="AB97" s="0" t="n">
        <f aca="false">$B97/AB$1</f>
        <v>0.00150980392156863</v>
      </c>
      <c r="AC97" s="0" t="n">
        <f aca="false">$B97/AC$1</f>
        <v>0.00145283018867925</v>
      </c>
      <c r="AD97" s="0" t="n">
        <f aca="false">$B97/AD$1</f>
        <v>0.0014</v>
      </c>
      <c r="AE97" s="0" t="n">
        <f aca="false">$B97/AE$1</f>
        <v>0.00135087719298246</v>
      </c>
      <c r="AF97" s="0" t="n">
        <f aca="false">$B97/AF$1</f>
        <v>0.00130508474576271</v>
      </c>
      <c r="AG97" s="0" t="n">
        <f aca="false">$B97/AG$1</f>
        <v>0.00126229508196721</v>
      </c>
      <c r="AH97" s="0" t="n">
        <f aca="false">$B97/AH$1</f>
        <v>0.00122222222222222</v>
      </c>
      <c r="AI97" s="0" t="n">
        <f aca="false">$B97/AI$1</f>
        <v>0.00118461538461538</v>
      </c>
      <c r="AJ97" s="0" t="n">
        <f aca="false">$B97/AJ$1</f>
        <v>0.00114925373134328</v>
      </c>
      <c r="AK97" s="0" t="n">
        <f aca="false">$B97/AK$1</f>
        <v>0.00111594202898551</v>
      </c>
      <c r="AL97" s="0" t="n">
        <f aca="false">$B97/AL$1</f>
        <v>0.00108450704225352</v>
      </c>
      <c r="AM97" s="0" t="n">
        <f aca="false">$B97/AM$1</f>
        <v>0.00105479452054795</v>
      </c>
      <c r="AN97" s="0" t="n">
        <f aca="false">$B97/AN$1</f>
        <v>0.00102666666666667</v>
      </c>
      <c r="AO97" s="0" t="n">
        <f aca="false">$B97/AO$1</f>
        <v>0.001</v>
      </c>
      <c r="AP97" s="0" t="n">
        <f aca="false">$B97/AP$1</f>
        <v>0.000974683544303797</v>
      </c>
      <c r="AQ97" s="0" t="n">
        <f aca="false">$B97/AQ$1</f>
        <v>0.000950617283950617</v>
      </c>
      <c r="AR97" s="0" t="n">
        <f aca="false">$B97/AR$1</f>
        <v>0.000927710843373494</v>
      </c>
      <c r="AS97" s="0" t="n">
        <f aca="false">$B97/AS$1</f>
        <v>0.000905882352941177</v>
      </c>
      <c r="AT97" s="0" t="n">
        <f aca="false">$B97/AT$1</f>
        <v>0.000885057471264368</v>
      </c>
      <c r="AU97" s="0" t="n">
        <f aca="false">$B97/AU$1</f>
        <v>0.000865168539325843</v>
      </c>
      <c r="AV97" s="0" t="n">
        <f aca="false">$B97/AV$1</f>
        <v>0.000846153846153846</v>
      </c>
      <c r="AW97" s="0" t="n">
        <f aca="false">$B97/AW$1</f>
        <v>0.000827956989247312</v>
      </c>
      <c r="AX97" s="0" t="n">
        <f aca="false">$B97/AX$1</f>
        <v>0.000810526315789474</v>
      </c>
      <c r="AY97" s="0" t="n">
        <f aca="false">$B97/AY$1</f>
        <v>0.000793814432989691</v>
      </c>
      <c r="AZ97" s="0" t="n">
        <f aca="false">$B97/AZ$1</f>
        <v>0.000777777777777778</v>
      </c>
      <c r="BA97" s="0" t="n">
        <f aca="false">$B97/BA$1</f>
        <v>0.000762376237623762</v>
      </c>
      <c r="BB97" s="0" t="n">
        <f aca="false">$B97/BB$1</f>
        <v>0.000747572815533981</v>
      </c>
      <c r="BC97" s="0" t="n">
        <f aca="false">$B97/BC$1</f>
        <v>0.000733333333333333</v>
      </c>
      <c r="BD97" s="0" t="n">
        <f aca="false">$B97/BD$1</f>
        <v>0.000719626168224299</v>
      </c>
      <c r="BE97" s="0" t="n">
        <f aca="false">$B97/BE$1</f>
        <v>0.000706422018348624</v>
      </c>
      <c r="BF97" s="0" t="n">
        <f aca="false">$B97/BF$1</f>
        <v>0.000693693693693694</v>
      </c>
      <c r="BG97" s="0" t="n">
        <f aca="false">$B97/BG$1</f>
        <v>0.00068141592920354</v>
      </c>
      <c r="BH97" s="0" t="n">
        <f aca="false">$B97/BH$1</f>
        <v>0.000669565217391304</v>
      </c>
      <c r="BI97" s="0" t="n">
        <f aca="false">$B97/BI$1</f>
        <v>0.000658119658119658</v>
      </c>
      <c r="BJ97" s="0" t="n">
        <f aca="false">$B97/BJ$1</f>
        <v>0.000647058823529412</v>
      </c>
      <c r="BL97" s="0" t="n">
        <f aca="false">IF($B$93=1,COUNTIF(C97:BJ97,"&gt;="&amp;$C$93),0)</f>
        <v>9</v>
      </c>
      <c r="BM97" s="0" t="n">
        <f aca="false">IF($B$93=1,IF(OR(BS97&gt;=Settings!$B$5,Settings!$C$17&gt;0),MAX(BL97,Settings!$C$17),0),0)</f>
        <v>9</v>
      </c>
      <c r="BN97" s="0" t="n">
        <f aca="false">IF($B$93=1,IF(OR(BS97&gt;=Settings!$B$5,Settings!$C$17&gt;0),MAX(0,(2*MAX(BL97,Settings!$C$17)+1)*$C$93-BS97),MAX(0,Settings!$B$5-BS97)),"")</f>
        <v>0.000965517241379305</v>
      </c>
      <c r="BO97" s="0" t="n">
        <f aca="false">IF($B$93=1,IF(OR(BS97&gt;=Settings!$B$5,Settings!$C$17&gt;0),IF(BL97&lt;=Settings!$C$17,"Protected by electorates",IF(Settings!$C$17=0,MIN(BS97-(2*BL97-1)*$D$93,BS97-Settings!$B$5),BS97-(2*BL97-1)*$D$93)),""),"")</f>
        <v>0.00732394366197184</v>
      </c>
      <c r="BP97" s="0" t="n">
        <f aca="false">IF($B$93=1,IF(OR(BS97&gt;=Settings!$B$5,Settings!$C$17&gt;0),MAX(0,MIN(1,(BS97/$C$93-(2*MAX(BL97,Settings!$C$17)-1))/2)),MIN(1,BS97/Settings!$B$5)),"")</f>
        <v>0.882352941176471</v>
      </c>
      <c r="BQ97" s="0" t="n">
        <f aca="false">IF(AND($B$93=1,COUNTIF(C97:BJ97,$C$93)&gt;0),1,0)</f>
        <v>0</v>
      </c>
      <c r="BR97" s="0" t="n">
        <f aca="false">IF(AND($B$93=1,COUNTIF(C97:BJ97,$D$93)&gt;0),1,0)</f>
        <v>0</v>
      </c>
      <c r="BS97" s="0" t="n">
        <f aca="false">N(IF(Polls!K16="",Polls!K37,Polls!K16))</f>
        <v>0.077</v>
      </c>
      <c r="BT97" s="0" t="str">
        <f aca="false">IF(OR(BS97&gt;=Settings!$B$5,Settings!$C$17&gt;0),"Next seat","Threshold")</f>
        <v>Next seat</v>
      </c>
    </row>
    <row r="98" customFormat="false" ht="15" hidden="false" customHeight="false" outlineLevel="0" collapsed="false">
      <c r="A98" s="0" t="s">
        <v>48</v>
      </c>
      <c r="B98" s="0" t="n">
        <f aca="false">IF(OR(BS98&gt;=Settings!$B$5,Settings!$C$18&gt;0),BS98,0)</f>
        <v>0.119</v>
      </c>
      <c r="C98" s="0" t="n">
        <f aca="false">$B98/C$1</f>
        <v>0.119</v>
      </c>
      <c r="D98" s="0" t="n">
        <f aca="false">$B98/D$1</f>
        <v>0.0396666666666667</v>
      </c>
      <c r="E98" s="0" t="n">
        <f aca="false">$B98/E$1</f>
        <v>0.0238</v>
      </c>
      <c r="F98" s="0" t="n">
        <f aca="false">$B98/F$1</f>
        <v>0.017</v>
      </c>
      <c r="G98" s="0" t="n">
        <f aca="false">$B98/G$1</f>
        <v>0.0132222222222222</v>
      </c>
      <c r="H98" s="0" t="n">
        <f aca="false">$B98/H$1</f>
        <v>0.0108181818181818</v>
      </c>
      <c r="I98" s="0" t="n">
        <f aca="false">$B98/I$1</f>
        <v>0.00915384615384615</v>
      </c>
      <c r="J98" s="0" t="n">
        <f aca="false">$B98/J$1</f>
        <v>0.00793333333333333</v>
      </c>
      <c r="K98" s="0" t="n">
        <f aca="false">$B98/K$1</f>
        <v>0.007</v>
      </c>
      <c r="L98" s="0" t="n">
        <f aca="false">$B98/L$1</f>
        <v>0.00626315789473684</v>
      </c>
      <c r="M98" s="0" t="n">
        <f aca="false">$B98/M$1</f>
        <v>0.00566666666666667</v>
      </c>
      <c r="N98" s="0" t="n">
        <f aca="false">$B98/N$1</f>
        <v>0.00517391304347826</v>
      </c>
      <c r="O98" s="0" t="n">
        <f aca="false">$B98/O$1</f>
        <v>0.00476</v>
      </c>
      <c r="P98" s="0" t="n">
        <f aca="false">$B98/P$1</f>
        <v>0.00440740740740741</v>
      </c>
      <c r="Q98" s="0" t="n">
        <f aca="false">$B98/Q$1</f>
        <v>0.00410344827586207</v>
      </c>
      <c r="R98" s="0" t="n">
        <f aca="false">$B98/R$1</f>
        <v>0.00383870967741935</v>
      </c>
      <c r="S98" s="0" t="n">
        <f aca="false">$B98/S$1</f>
        <v>0.00360606060606061</v>
      </c>
      <c r="T98" s="0" t="n">
        <f aca="false">$B98/T$1</f>
        <v>0.0034</v>
      </c>
      <c r="U98" s="0" t="n">
        <f aca="false">$B98/U$1</f>
        <v>0.00321621621621622</v>
      </c>
      <c r="V98" s="0" t="n">
        <f aca="false">$B98/V$1</f>
        <v>0.00305128205128205</v>
      </c>
      <c r="W98" s="0" t="n">
        <f aca="false">$B98/W$1</f>
        <v>0.00290243902439024</v>
      </c>
      <c r="X98" s="0" t="n">
        <f aca="false">$B98/X$1</f>
        <v>0.00276744186046512</v>
      </c>
      <c r="Y98" s="0" t="n">
        <f aca="false">$B98/Y$1</f>
        <v>0.00264444444444444</v>
      </c>
      <c r="Z98" s="0" t="n">
        <f aca="false">$B98/Z$1</f>
        <v>0.00253191489361702</v>
      </c>
      <c r="AA98" s="0" t="n">
        <f aca="false">$B98/AA$1</f>
        <v>0.00242857142857143</v>
      </c>
      <c r="AB98" s="0" t="n">
        <f aca="false">$B98/AB$1</f>
        <v>0.00233333333333333</v>
      </c>
      <c r="AC98" s="0" t="n">
        <f aca="false">$B98/AC$1</f>
        <v>0.00224528301886792</v>
      </c>
      <c r="AD98" s="0" t="n">
        <f aca="false">$B98/AD$1</f>
        <v>0.00216363636363636</v>
      </c>
      <c r="AE98" s="0" t="n">
        <f aca="false">$B98/AE$1</f>
        <v>0.00208771929824561</v>
      </c>
      <c r="AF98" s="0" t="n">
        <f aca="false">$B98/AF$1</f>
        <v>0.00201694915254237</v>
      </c>
      <c r="AG98" s="0" t="n">
        <f aca="false">$B98/AG$1</f>
        <v>0.00195081967213115</v>
      </c>
      <c r="AH98" s="0" t="n">
        <f aca="false">$B98/AH$1</f>
        <v>0.00188888888888889</v>
      </c>
      <c r="AI98" s="0" t="n">
        <f aca="false">$B98/AI$1</f>
        <v>0.00183076923076923</v>
      </c>
      <c r="AJ98" s="0" t="n">
        <f aca="false">$B98/AJ$1</f>
        <v>0.00177611940298507</v>
      </c>
      <c r="AK98" s="0" t="n">
        <f aca="false">$B98/AK$1</f>
        <v>0.00172463768115942</v>
      </c>
      <c r="AL98" s="0" t="n">
        <f aca="false">$B98/AL$1</f>
        <v>0.00167605633802817</v>
      </c>
      <c r="AM98" s="0" t="n">
        <f aca="false">$B98/AM$1</f>
        <v>0.00163013698630137</v>
      </c>
      <c r="AN98" s="0" t="n">
        <f aca="false">$B98/AN$1</f>
        <v>0.00158666666666667</v>
      </c>
      <c r="AO98" s="0" t="n">
        <f aca="false">$B98/AO$1</f>
        <v>0.00154545454545455</v>
      </c>
      <c r="AP98" s="0" t="n">
        <f aca="false">$B98/AP$1</f>
        <v>0.00150632911392405</v>
      </c>
      <c r="AQ98" s="0" t="n">
        <f aca="false">$B98/AQ$1</f>
        <v>0.00146913580246914</v>
      </c>
      <c r="AR98" s="0" t="n">
        <f aca="false">$B98/AR$1</f>
        <v>0.00143373493975904</v>
      </c>
      <c r="AS98" s="0" t="n">
        <f aca="false">$B98/AS$1</f>
        <v>0.0014</v>
      </c>
      <c r="AT98" s="0" t="n">
        <f aca="false">$B98/AT$1</f>
        <v>0.00136781609195402</v>
      </c>
      <c r="AU98" s="0" t="n">
        <f aca="false">$B98/AU$1</f>
        <v>0.00133707865168539</v>
      </c>
      <c r="AV98" s="0" t="n">
        <f aca="false">$B98/AV$1</f>
        <v>0.00130769230769231</v>
      </c>
      <c r="AW98" s="0" t="n">
        <f aca="false">$B98/AW$1</f>
        <v>0.00127956989247312</v>
      </c>
      <c r="AX98" s="0" t="n">
        <f aca="false">$B98/AX$1</f>
        <v>0.00125263157894737</v>
      </c>
      <c r="AY98" s="0" t="n">
        <f aca="false">$B98/AY$1</f>
        <v>0.00122680412371134</v>
      </c>
      <c r="AZ98" s="0" t="n">
        <f aca="false">$B98/AZ$1</f>
        <v>0.0012020202020202</v>
      </c>
      <c r="BA98" s="0" t="n">
        <f aca="false">$B98/BA$1</f>
        <v>0.00117821782178218</v>
      </c>
      <c r="BB98" s="0" t="n">
        <f aca="false">$B98/BB$1</f>
        <v>0.00115533980582524</v>
      </c>
      <c r="BC98" s="0" t="n">
        <f aca="false">$B98/BC$1</f>
        <v>0.00113333333333333</v>
      </c>
      <c r="BD98" s="0" t="n">
        <f aca="false">$B98/BD$1</f>
        <v>0.00111214953271028</v>
      </c>
      <c r="BE98" s="0" t="n">
        <f aca="false">$B98/BE$1</f>
        <v>0.00109174311926606</v>
      </c>
      <c r="BF98" s="0" t="n">
        <f aca="false">$B98/BF$1</f>
        <v>0.00107207207207207</v>
      </c>
      <c r="BG98" s="0" t="n">
        <f aca="false">$B98/BG$1</f>
        <v>0.00105309734513274</v>
      </c>
      <c r="BH98" s="0" t="n">
        <f aca="false">$B98/BH$1</f>
        <v>0.00103478260869565</v>
      </c>
      <c r="BI98" s="0" t="n">
        <f aca="false">$B98/BI$1</f>
        <v>0.00101709401709402</v>
      </c>
      <c r="BJ98" s="0" t="n">
        <f aca="false">$B98/BJ$1</f>
        <v>0.001</v>
      </c>
      <c r="BL98" s="0" t="n">
        <f aca="false">IF($B$93=1,COUNTIF(C98:BJ98,"&gt;="&amp;$C$93),0)</f>
        <v>15</v>
      </c>
      <c r="BM98" s="0" t="n">
        <f aca="false">IF($B$93=1,IF(OR(BS98&gt;=Settings!$B$5,Settings!$C$18&gt;0),MAX(BL98,Settings!$C$18),0),0)</f>
        <v>15</v>
      </c>
      <c r="BN98" s="0" t="n">
        <f aca="false">IF($B$93=1,IF(OR(BS98&gt;=Settings!$B$5,Settings!$C$18&gt;0),MAX(0,(2*MAX(BL98,Settings!$C$18)+1)*$C$93-BS98),MAX(0,Settings!$B$5-BS98)),"")</f>
        <v>0.00820689655172413</v>
      </c>
      <c r="BO98" s="0" t="n">
        <f aca="false">IF($B$93=1,IF(OR(BS98&gt;=Settings!$B$5,Settings!$C$18&gt;0),IF(BL98&lt;=Settings!$C$18,"Protected by electorates",IF(Settings!$C$18=0,MIN(BS98-(2*BL98-1)*$D$93,BS98-Settings!$B$5),BS98-(2*BL98-1)*$D$93)),""),"")</f>
        <v>0.000140845070422543</v>
      </c>
      <c r="BP98" s="0" t="n">
        <f aca="false">IF($B$93=1,IF(OR(BS98&gt;=Settings!$B$5,Settings!$C$18&gt;0),MAX(0,MIN(1,(BS98/$C$93-(2*MAX(BL98,Settings!$C$18)-1))/2)),MIN(1,BS98/Settings!$B$5)),"")</f>
        <v>0</v>
      </c>
      <c r="BQ98" s="0" t="n">
        <f aca="false">IF(AND($B$93=1,COUNTIF(C98:BJ98,$C$93)&gt;0),1,0)</f>
        <v>1</v>
      </c>
      <c r="BR98" s="0" t="n">
        <f aca="false">IF(AND($B$93=1,COUNTIF(C98:BJ98,$D$93)&gt;0),1,0)</f>
        <v>0</v>
      </c>
      <c r="BS98" s="0" t="n">
        <f aca="false">N(IF(Polls!L16="",Polls!L37,Polls!L16))</f>
        <v>0.119</v>
      </c>
      <c r="BT98" s="0" t="str">
        <f aca="false">IF(OR(BS98&gt;=Settings!$B$5,Settings!$C$18&gt;0),"Next seat","Threshold")</f>
        <v>Next seat</v>
      </c>
    </row>
    <row r="99" customFormat="false" ht="15" hidden="false" customHeight="false" outlineLevel="0" collapsed="false">
      <c r="A99" s="0" t="s">
        <v>50</v>
      </c>
      <c r="B99" s="0" t="n">
        <f aca="false">IF(OR(BS99&gt;=Settings!$B$5,Settings!$C$19&gt;0),BS99,0)</f>
        <v>0.03</v>
      </c>
      <c r="C99" s="0" t="n">
        <f aca="false">$B99/C$1</f>
        <v>0.03</v>
      </c>
      <c r="D99" s="0" t="n">
        <f aca="false">$B99/D$1</f>
        <v>0.01</v>
      </c>
      <c r="E99" s="0" t="n">
        <f aca="false">$B99/E$1</f>
        <v>0.006</v>
      </c>
      <c r="F99" s="0" t="n">
        <f aca="false">$B99/F$1</f>
        <v>0.00428571428571429</v>
      </c>
      <c r="G99" s="0" t="n">
        <f aca="false">$B99/G$1</f>
        <v>0.00333333333333333</v>
      </c>
      <c r="H99" s="0" t="n">
        <f aca="false">$B99/H$1</f>
        <v>0.00272727272727273</v>
      </c>
      <c r="I99" s="0" t="n">
        <f aca="false">$B99/I$1</f>
        <v>0.00230769230769231</v>
      </c>
      <c r="J99" s="0" t="n">
        <f aca="false">$B99/J$1</f>
        <v>0.002</v>
      </c>
      <c r="K99" s="0" t="n">
        <f aca="false">$B99/K$1</f>
        <v>0.00176470588235294</v>
      </c>
      <c r="L99" s="0" t="n">
        <f aca="false">$B99/L$1</f>
        <v>0.00157894736842105</v>
      </c>
      <c r="M99" s="0" t="n">
        <f aca="false">$B99/M$1</f>
        <v>0.00142857142857143</v>
      </c>
      <c r="N99" s="0" t="n">
        <f aca="false">$B99/N$1</f>
        <v>0.00130434782608696</v>
      </c>
      <c r="O99" s="0" t="n">
        <f aca="false">$B99/O$1</f>
        <v>0.0012</v>
      </c>
      <c r="P99" s="0" t="n">
        <f aca="false">$B99/P$1</f>
        <v>0.00111111111111111</v>
      </c>
      <c r="Q99" s="0" t="n">
        <f aca="false">$B99/Q$1</f>
        <v>0.00103448275862069</v>
      </c>
      <c r="R99" s="0" t="n">
        <f aca="false">$B99/R$1</f>
        <v>0.000967741935483871</v>
      </c>
      <c r="S99" s="0" t="n">
        <f aca="false">$B99/S$1</f>
        <v>0.000909090909090909</v>
      </c>
      <c r="T99" s="0" t="n">
        <f aca="false">$B99/T$1</f>
        <v>0.000857142857142857</v>
      </c>
      <c r="U99" s="0" t="n">
        <f aca="false">$B99/U$1</f>
        <v>0.000810810810810811</v>
      </c>
      <c r="V99" s="0" t="n">
        <f aca="false">$B99/V$1</f>
        <v>0.000769230769230769</v>
      </c>
      <c r="W99" s="0" t="n">
        <f aca="false">$B99/W$1</f>
        <v>0.000731707317073171</v>
      </c>
      <c r="X99" s="0" t="n">
        <f aca="false">$B99/X$1</f>
        <v>0.000697674418604651</v>
      </c>
      <c r="Y99" s="0" t="n">
        <f aca="false">$B99/Y$1</f>
        <v>0.000666666666666667</v>
      </c>
      <c r="Z99" s="0" t="n">
        <f aca="false">$B99/Z$1</f>
        <v>0.000638297872340426</v>
      </c>
      <c r="AA99" s="0" t="n">
        <f aca="false">$B99/AA$1</f>
        <v>0.000612244897959184</v>
      </c>
      <c r="AB99" s="0" t="n">
        <f aca="false">$B99/AB$1</f>
        <v>0.000588235294117647</v>
      </c>
      <c r="AC99" s="0" t="n">
        <f aca="false">$B99/AC$1</f>
        <v>0.000566037735849057</v>
      </c>
      <c r="AD99" s="0" t="n">
        <f aca="false">$B99/AD$1</f>
        <v>0.000545454545454546</v>
      </c>
      <c r="AE99" s="0" t="n">
        <f aca="false">$B99/AE$1</f>
        <v>0.000526315789473684</v>
      </c>
      <c r="AF99" s="0" t="n">
        <f aca="false">$B99/AF$1</f>
        <v>0.000508474576271186</v>
      </c>
      <c r="AG99" s="0" t="n">
        <f aca="false">$B99/AG$1</f>
        <v>0.000491803278688525</v>
      </c>
      <c r="AH99" s="0" t="n">
        <f aca="false">$B99/AH$1</f>
        <v>0.000476190476190476</v>
      </c>
      <c r="AI99" s="0" t="n">
        <f aca="false">$B99/AI$1</f>
        <v>0.000461538461538462</v>
      </c>
      <c r="AJ99" s="0" t="n">
        <f aca="false">$B99/AJ$1</f>
        <v>0.000447761194029851</v>
      </c>
      <c r="AK99" s="0" t="n">
        <f aca="false">$B99/AK$1</f>
        <v>0.000434782608695652</v>
      </c>
      <c r="AL99" s="0" t="n">
        <f aca="false">$B99/AL$1</f>
        <v>0.000422535211267606</v>
      </c>
      <c r="AM99" s="0" t="n">
        <f aca="false">$B99/AM$1</f>
        <v>0.000410958904109589</v>
      </c>
      <c r="AN99" s="0" t="n">
        <f aca="false">$B99/AN$1</f>
        <v>0.0004</v>
      </c>
      <c r="AO99" s="0" t="n">
        <f aca="false">$B99/AO$1</f>
        <v>0.00038961038961039</v>
      </c>
      <c r="AP99" s="0" t="n">
        <f aca="false">$B99/AP$1</f>
        <v>0.000379746835443038</v>
      </c>
      <c r="AQ99" s="0" t="n">
        <f aca="false">$B99/AQ$1</f>
        <v>0.00037037037037037</v>
      </c>
      <c r="AR99" s="0" t="n">
        <f aca="false">$B99/AR$1</f>
        <v>0.00036144578313253</v>
      </c>
      <c r="AS99" s="0" t="n">
        <f aca="false">$B99/AS$1</f>
        <v>0.000352941176470588</v>
      </c>
      <c r="AT99" s="0" t="n">
        <f aca="false">$B99/AT$1</f>
        <v>0.000344827586206897</v>
      </c>
      <c r="AU99" s="0" t="n">
        <f aca="false">$B99/AU$1</f>
        <v>0.000337078651685393</v>
      </c>
      <c r="AV99" s="0" t="n">
        <f aca="false">$B99/AV$1</f>
        <v>0.00032967032967033</v>
      </c>
      <c r="AW99" s="0" t="n">
        <f aca="false">$B99/AW$1</f>
        <v>0.00032258064516129</v>
      </c>
      <c r="AX99" s="0" t="n">
        <f aca="false">$B99/AX$1</f>
        <v>0.000315789473684211</v>
      </c>
      <c r="AY99" s="0" t="n">
        <f aca="false">$B99/AY$1</f>
        <v>0.000309278350515464</v>
      </c>
      <c r="AZ99" s="0" t="n">
        <f aca="false">$B99/AZ$1</f>
        <v>0.000303030303030303</v>
      </c>
      <c r="BA99" s="0" t="n">
        <f aca="false">$B99/BA$1</f>
        <v>0.000297029702970297</v>
      </c>
      <c r="BB99" s="0" t="n">
        <f aca="false">$B99/BB$1</f>
        <v>0.00029126213592233</v>
      </c>
      <c r="BC99" s="0" t="n">
        <f aca="false">$B99/BC$1</f>
        <v>0.000285714285714286</v>
      </c>
      <c r="BD99" s="0" t="n">
        <f aca="false">$B99/BD$1</f>
        <v>0.000280373831775701</v>
      </c>
      <c r="BE99" s="0" t="n">
        <f aca="false">$B99/BE$1</f>
        <v>0.000275229357798165</v>
      </c>
      <c r="BF99" s="0" t="n">
        <f aca="false">$B99/BF$1</f>
        <v>0.00027027027027027</v>
      </c>
      <c r="BG99" s="0" t="n">
        <f aca="false">$B99/BG$1</f>
        <v>0.000265486725663717</v>
      </c>
      <c r="BH99" s="0" t="n">
        <f aca="false">$B99/BH$1</f>
        <v>0.000260869565217391</v>
      </c>
      <c r="BI99" s="0" t="n">
        <f aca="false">$B99/BI$1</f>
        <v>0.000256410256410256</v>
      </c>
      <c r="BJ99" s="0" t="n">
        <f aca="false">$B99/BJ$1</f>
        <v>0.000252100840336134</v>
      </c>
      <c r="BL99" s="0" t="n">
        <f aca="false">IF($B$93=1,COUNTIF(C99:BJ99,"&gt;="&amp;$C$93),0)</f>
        <v>4</v>
      </c>
      <c r="BM99" s="0" t="n">
        <f aca="false">IF($B$93=1,IF(OR(BS99&gt;=Settings!$B$5,Settings!$C$19&gt;0),MAX(BL99,Settings!$C$19),0),0)</f>
        <v>4</v>
      </c>
      <c r="BN99" s="0" t="n">
        <f aca="false">IF($B$93=1,IF(OR(BS99&gt;=Settings!$B$5,Settings!$C$19&gt;0),MAX(0,(2*MAX(BL99,Settings!$C$19)+1)*$C$93-BS99),MAX(0,Settings!$B$5-BS99)),"")</f>
        <v>0.00693103448275861</v>
      </c>
      <c r="BO99" s="0" t="str">
        <f aca="false">IF($B$93=1,IF(OR(BS99&gt;=Settings!$B$5,Settings!$C$19&gt;0),IF(BL99&lt;=Settings!$C$19,"Protected by electorates",IF(Settings!$C$19=0,MIN(BS99-(2*BL99-1)*$D$93,BS99-Settings!$B$5),BS99-(2*BL99-1)*$D$93)),""),"")</f>
        <v>Protected by electorates</v>
      </c>
      <c r="BP99" s="0" t="n">
        <f aca="false">IF($B$93=1,IF(OR(BS99&gt;=Settings!$B$5,Settings!$C$19&gt;0),MAX(0,MIN(1,(BS99/$C$93-(2*MAX(BL99,Settings!$C$19)-1))/2)),MIN(1,BS99/Settings!$B$5)),"")</f>
        <v>0.15546218487395</v>
      </c>
      <c r="BQ99" s="0" t="n">
        <f aca="false">IF(AND($B$93=1,COUNTIF(C99:BJ99,$C$93)&gt;0),1,0)</f>
        <v>0</v>
      </c>
      <c r="BR99" s="0" t="n">
        <f aca="false">IF(AND($B$93=1,COUNTIF(C99:BJ99,$D$93)&gt;0),1,0)</f>
        <v>0</v>
      </c>
      <c r="BS99" s="0" t="n">
        <f aca="false">N(IF(Polls!M16="",Polls!M37,Polls!M16))</f>
        <v>0.03</v>
      </c>
      <c r="BT99" s="0" t="str">
        <f aca="false">IF(OR(BS99&gt;=Settings!$B$5,Settings!$C$19&gt;0),"Next seat","Threshold")</f>
        <v>Next seat</v>
      </c>
    </row>
    <row r="100" customFormat="false" ht="15" hidden="false" customHeight="false" outlineLevel="0" collapsed="false">
      <c r="A100" s="0" t="s">
        <v>52</v>
      </c>
      <c r="B100" s="0" t="n">
        <f aca="false">IF(OR(BS100&gt;=Settings!$B$5,Settings!$C$20&gt;0),BS100,0)</f>
        <v>0.053</v>
      </c>
      <c r="C100" s="0" t="n">
        <f aca="false">$B100/C$1</f>
        <v>0.053</v>
      </c>
      <c r="D100" s="0" t="n">
        <f aca="false">$B100/D$1</f>
        <v>0.0176666666666667</v>
      </c>
      <c r="E100" s="0" t="n">
        <f aca="false">$B100/E$1</f>
        <v>0.0106</v>
      </c>
      <c r="F100" s="0" t="n">
        <f aca="false">$B100/F$1</f>
        <v>0.00757142857142857</v>
      </c>
      <c r="G100" s="0" t="n">
        <f aca="false">$B100/G$1</f>
        <v>0.00588888888888889</v>
      </c>
      <c r="H100" s="0" t="n">
        <f aca="false">$B100/H$1</f>
        <v>0.00481818181818182</v>
      </c>
      <c r="I100" s="0" t="n">
        <f aca="false">$B100/I$1</f>
        <v>0.00407692307692308</v>
      </c>
      <c r="J100" s="0" t="n">
        <f aca="false">$B100/J$1</f>
        <v>0.00353333333333333</v>
      </c>
      <c r="K100" s="0" t="n">
        <f aca="false">$B100/K$1</f>
        <v>0.00311764705882353</v>
      </c>
      <c r="L100" s="0" t="n">
        <f aca="false">$B100/L$1</f>
        <v>0.00278947368421053</v>
      </c>
      <c r="M100" s="0" t="n">
        <f aca="false">$B100/M$1</f>
        <v>0.00252380952380952</v>
      </c>
      <c r="N100" s="0" t="n">
        <f aca="false">$B100/N$1</f>
        <v>0.00230434782608696</v>
      </c>
      <c r="O100" s="0" t="n">
        <f aca="false">$B100/O$1</f>
        <v>0.00212</v>
      </c>
      <c r="P100" s="0" t="n">
        <f aca="false">$B100/P$1</f>
        <v>0.00196296296296296</v>
      </c>
      <c r="Q100" s="0" t="n">
        <f aca="false">$B100/Q$1</f>
        <v>0.00182758620689655</v>
      </c>
      <c r="R100" s="0" t="n">
        <f aca="false">$B100/R$1</f>
        <v>0.00170967741935484</v>
      </c>
      <c r="S100" s="0" t="n">
        <f aca="false">$B100/S$1</f>
        <v>0.00160606060606061</v>
      </c>
      <c r="T100" s="0" t="n">
        <f aca="false">$B100/T$1</f>
        <v>0.00151428571428571</v>
      </c>
      <c r="U100" s="0" t="n">
        <f aca="false">$B100/U$1</f>
        <v>0.00143243243243243</v>
      </c>
      <c r="V100" s="0" t="n">
        <f aca="false">$B100/V$1</f>
        <v>0.00135897435897436</v>
      </c>
      <c r="W100" s="0" t="n">
        <f aca="false">$B100/W$1</f>
        <v>0.00129268292682927</v>
      </c>
      <c r="X100" s="0" t="n">
        <f aca="false">$B100/X$1</f>
        <v>0.00123255813953488</v>
      </c>
      <c r="Y100" s="0" t="n">
        <f aca="false">$B100/Y$1</f>
        <v>0.00117777777777778</v>
      </c>
      <c r="Z100" s="0" t="n">
        <f aca="false">$B100/Z$1</f>
        <v>0.00112765957446809</v>
      </c>
      <c r="AA100" s="0" t="n">
        <f aca="false">$B100/AA$1</f>
        <v>0.00108163265306122</v>
      </c>
      <c r="AB100" s="0" t="n">
        <f aca="false">$B100/AB$1</f>
        <v>0.00103921568627451</v>
      </c>
      <c r="AC100" s="0" t="n">
        <f aca="false">$B100/AC$1</f>
        <v>0.001</v>
      </c>
      <c r="AD100" s="0" t="n">
        <f aca="false">$B100/AD$1</f>
        <v>0.000963636363636364</v>
      </c>
      <c r="AE100" s="0" t="n">
        <f aca="false">$B100/AE$1</f>
        <v>0.000929824561403509</v>
      </c>
      <c r="AF100" s="0" t="n">
        <f aca="false">$B100/AF$1</f>
        <v>0.000898305084745763</v>
      </c>
      <c r="AG100" s="0" t="n">
        <f aca="false">$B100/AG$1</f>
        <v>0.000868852459016393</v>
      </c>
      <c r="AH100" s="0" t="n">
        <f aca="false">$B100/AH$1</f>
        <v>0.000841269841269841</v>
      </c>
      <c r="AI100" s="0" t="n">
        <f aca="false">$B100/AI$1</f>
        <v>0.000815384615384615</v>
      </c>
      <c r="AJ100" s="0" t="n">
        <f aca="false">$B100/AJ$1</f>
        <v>0.000791044776119403</v>
      </c>
      <c r="AK100" s="0" t="n">
        <f aca="false">$B100/AK$1</f>
        <v>0.000768115942028986</v>
      </c>
      <c r="AL100" s="0" t="n">
        <f aca="false">$B100/AL$1</f>
        <v>0.000746478873239437</v>
      </c>
      <c r="AM100" s="0" t="n">
        <f aca="false">$B100/AM$1</f>
        <v>0.000726027397260274</v>
      </c>
      <c r="AN100" s="0" t="n">
        <f aca="false">$B100/AN$1</f>
        <v>0.000706666666666667</v>
      </c>
      <c r="AO100" s="0" t="n">
        <f aca="false">$B100/AO$1</f>
        <v>0.000688311688311688</v>
      </c>
      <c r="AP100" s="0" t="n">
        <f aca="false">$B100/AP$1</f>
        <v>0.000670886075949367</v>
      </c>
      <c r="AQ100" s="0" t="n">
        <f aca="false">$B100/AQ$1</f>
        <v>0.000654320987654321</v>
      </c>
      <c r="AR100" s="0" t="n">
        <f aca="false">$B100/AR$1</f>
        <v>0.00063855421686747</v>
      </c>
      <c r="AS100" s="0" t="n">
        <f aca="false">$B100/AS$1</f>
        <v>0.000623529411764706</v>
      </c>
      <c r="AT100" s="0" t="n">
        <f aca="false">$B100/AT$1</f>
        <v>0.000609195402298851</v>
      </c>
      <c r="AU100" s="0" t="n">
        <f aca="false">$B100/AU$1</f>
        <v>0.000595505617977528</v>
      </c>
      <c r="AV100" s="0" t="n">
        <f aca="false">$B100/AV$1</f>
        <v>0.000582417582417582</v>
      </c>
      <c r="AW100" s="0" t="n">
        <f aca="false">$B100/AW$1</f>
        <v>0.00056989247311828</v>
      </c>
      <c r="AX100" s="0" t="n">
        <f aca="false">$B100/AX$1</f>
        <v>0.000557894736842105</v>
      </c>
      <c r="AY100" s="0" t="n">
        <f aca="false">$B100/AY$1</f>
        <v>0.00054639175257732</v>
      </c>
      <c r="AZ100" s="0" t="n">
        <f aca="false">$B100/AZ$1</f>
        <v>0.000535353535353535</v>
      </c>
      <c r="BA100" s="0" t="n">
        <f aca="false">$B100/BA$1</f>
        <v>0.000524752475247525</v>
      </c>
      <c r="BB100" s="0" t="n">
        <f aca="false">$B100/BB$1</f>
        <v>0.000514563106796116</v>
      </c>
      <c r="BC100" s="0" t="n">
        <f aca="false">$B100/BC$1</f>
        <v>0.000504761904761905</v>
      </c>
      <c r="BD100" s="0" t="n">
        <f aca="false">$B100/BD$1</f>
        <v>0.000495327102803738</v>
      </c>
      <c r="BE100" s="0" t="n">
        <f aca="false">$B100/BE$1</f>
        <v>0.000486238532110092</v>
      </c>
      <c r="BF100" s="0" t="n">
        <f aca="false">$B100/BF$1</f>
        <v>0.000477477477477477</v>
      </c>
      <c r="BG100" s="0" t="n">
        <f aca="false">$B100/BG$1</f>
        <v>0.000469026548672566</v>
      </c>
      <c r="BH100" s="0" t="n">
        <f aca="false">$B100/BH$1</f>
        <v>0.000460869565217391</v>
      </c>
      <c r="BI100" s="0" t="n">
        <f aca="false">$B100/BI$1</f>
        <v>0.000452991452991453</v>
      </c>
      <c r="BJ100" s="0" t="n">
        <f aca="false">$B100/BJ$1</f>
        <v>0.000445378151260504</v>
      </c>
      <c r="BL100" s="0" t="n">
        <f aca="false">IF($B$93=1,COUNTIF(C100:BJ100,"&gt;="&amp;$C$93),0)</f>
        <v>6</v>
      </c>
      <c r="BM100" s="0" t="n">
        <f aca="false">IF($B$93=1,IF(OR(BS100&gt;=Settings!$B$5,Settings!$C$20&gt;0),MAX(BL100,Settings!$C$20),0),0)</f>
        <v>6</v>
      </c>
      <c r="BN100" s="0" t="n">
        <f aca="false">IF($B$93=1,IF(OR(BS100&gt;=Settings!$B$5,Settings!$C$20&gt;0),MAX(0,(2*MAX(BL100,Settings!$C$20)+1)*$C$93-BS100),MAX(0,Settings!$B$5-BS100)),"")</f>
        <v>0.000344827586206888</v>
      </c>
      <c r="BO100" s="0" t="n">
        <f aca="false">IF($B$93=1,IF(OR(BS100&gt;=Settings!$B$5,Settings!$C$20&gt;0),IF(BL100&lt;=Settings!$C$20,"Protected by electorates",IF(Settings!$C$20=0,MIN(BS100-(2*BL100-1)*$D$93,BS100-Settings!$B$5),BS100-(2*BL100-1)*$D$93)),""),"")</f>
        <v>0.003</v>
      </c>
      <c r="BP100" s="0" t="n">
        <f aca="false">IF($B$93=1,IF(OR(BS100&gt;=Settings!$B$5,Settings!$C$20&gt;0),MAX(0,MIN(1,(BS100/$C$93-(2*MAX(BL100,Settings!$C$20)-1))/2)),MIN(1,BS100/Settings!$B$5)),"")</f>
        <v>0.957983193277312</v>
      </c>
      <c r="BQ100" s="0" t="n">
        <f aca="false">IF(AND($B$93=1,COUNTIF(C100:BJ100,$C$93)&gt;0),1,0)</f>
        <v>0</v>
      </c>
      <c r="BR100" s="0" t="n">
        <f aca="false">IF(AND($B$93=1,COUNTIF(C100:BJ100,$D$93)&gt;0),1,0)</f>
        <v>0</v>
      </c>
      <c r="BS100" s="0" t="n">
        <f aca="false">N(IF(Polls!N16="",Polls!N37,Polls!N16))</f>
        <v>0.053</v>
      </c>
      <c r="BT100" s="0" t="str">
        <f aca="false">IF(OR(BS100&gt;=Settings!$B$5,Settings!$C$20&gt;0),"Next seat","Threshold")</f>
        <v>Next seat</v>
      </c>
    </row>
    <row r="102" customFormat="false" ht="15" hidden="false" customHeight="false" outlineLevel="0" collapsed="false">
      <c r="A102" s="41" t="str">
        <f aca="false">Polls!A17</f>
        <v>Verian Aug</v>
      </c>
      <c r="B102" s="17" t="n">
        <f aca="false">IF(SUM(BS103:BS109)&gt;0,1,0)</f>
        <v>1</v>
      </c>
      <c r="C102" s="17" t="n">
        <f aca="false">IF(B102=1,LARGE(C103:BJ109,Settings!$B$4),0)</f>
        <v>0.00408450704225352</v>
      </c>
      <c r="D102" s="17" t="n">
        <f aca="false">IF(B102=1,LARGE(C103:BJ109,Settings!$B$4+1),0)</f>
        <v>0.004</v>
      </c>
      <c r="E102" s="0" t="str">
        <f aca="false">IF(B102=1,IFERROR(INDEX(A103:A109,MATCH(1,BQ103:BQ109,0)),""),"")</f>
        <v>NAT</v>
      </c>
      <c r="F102" s="0" t="str">
        <f aca="false">IF(B102=1,IFERROR(INDEX(A103:A109,MATCH(1,BR103:BR109,0)),""),"")</f>
        <v>LAB</v>
      </c>
      <c r="G102" s="17" t="n">
        <f aca="false">IF(B102=1,SUM(BM103:BM109)+Settings!$B$10,"")</f>
        <v>123</v>
      </c>
    </row>
    <row r="103" customFormat="false" ht="15" hidden="false" customHeight="false" outlineLevel="0" collapsed="false">
      <c r="A103" s="0" t="s">
        <v>41</v>
      </c>
      <c r="B103" s="0" t="n">
        <f aca="false">IF(OR(BS103&gt;=Settings!$B$5,Settings!$C$14&gt;0),BS103,0)</f>
        <v>0.29</v>
      </c>
      <c r="C103" s="0" t="n">
        <f aca="false">$B103/C$1</f>
        <v>0.29</v>
      </c>
      <c r="D103" s="0" t="n">
        <f aca="false">$B103/D$1</f>
        <v>0.0966666666666667</v>
      </c>
      <c r="E103" s="0" t="n">
        <f aca="false">$B103/E$1</f>
        <v>0.058</v>
      </c>
      <c r="F103" s="0" t="n">
        <f aca="false">$B103/F$1</f>
        <v>0.0414285714285714</v>
      </c>
      <c r="G103" s="0" t="n">
        <f aca="false">$B103/G$1</f>
        <v>0.0322222222222222</v>
      </c>
      <c r="H103" s="0" t="n">
        <f aca="false">$B103/H$1</f>
        <v>0.0263636363636364</v>
      </c>
      <c r="I103" s="0" t="n">
        <f aca="false">$B103/I$1</f>
        <v>0.0223076923076923</v>
      </c>
      <c r="J103" s="0" t="n">
        <f aca="false">$B103/J$1</f>
        <v>0.0193333333333333</v>
      </c>
      <c r="K103" s="0" t="n">
        <f aca="false">$B103/K$1</f>
        <v>0.0170588235294118</v>
      </c>
      <c r="L103" s="0" t="n">
        <f aca="false">$B103/L$1</f>
        <v>0.0152631578947368</v>
      </c>
      <c r="M103" s="0" t="n">
        <f aca="false">$B103/M$1</f>
        <v>0.0138095238095238</v>
      </c>
      <c r="N103" s="0" t="n">
        <f aca="false">$B103/N$1</f>
        <v>0.0126086956521739</v>
      </c>
      <c r="O103" s="0" t="n">
        <f aca="false">$B103/O$1</f>
        <v>0.0116</v>
      </c>
      <c r="P103" s="0" t="n">
        <f aca="false">$B103/P$1</f>
        <v>0.0107407407407407</v>
      </c>
      <c r="Q103" s="0" t="n">
        <f aca="false">$B103/Q$1</f>
        <v>0.01</v>
      </c>
      <c r="R103" s="0" t="n">
        <f aca="false">$B103/R$1</f>
        <v>0.00935483870967742</v>
      </c>
      <c r="S103" s="0" t="n">
        <f aca="false">$B103/S$1</f>
        <v>0.00878787878787879</v>
      </c>
      <c r="T103" s="0" t="n">
        <f aca="false">$B103/T$1</f>
        <v>0.00828571428571429</v>
      </c>
      <c r="U103" s="0" t="n">
        <f aca="false">$B103/U$1</f>
        <v>0.00783783783783784</v>
      </c>
      <c r="V103" s="0" t="n">
        <f aca="false">$B103/V$1</f>
        <v>0.00743589743589744</v>
      </c>
      <c r="W103" s="0" t="n">
        <f aca="false">$B103/W$1</f>
        <v>0.00707317073170732</v>
      </c>
      <c r="X103" s="0" t="n">
        <f aca="false">$B103/X$1</f>
        <v>0.00674418604651163</v>
      </c>
      <c r="Y103" s="0" t="n">
        <f aca="false">$B103/Y$1</f>
        <v>0.00644444444444444</v>
      </c>
      <c r="Z103" s="0" t="n">
        <f aca="false">$B103/Z$1</f>
        <v>0.00617021276595745</v>
      </c>
      <c r="AA103" s="0" t="n">
        <f aca="false">$B103/AA$1</f>
        <v>0.00591836734693878</v>
      </c>
      <c r="AB103" s="0" t="n">
        <f aca="false">$B103/AB$1</f>
        <v>0.00568627450980392</v>
      </c>
      <c r="AC103" s="0" t="n">
        <f aca="false">$B103/AC$1</f>
        <v>0.00547169811320755</v>
      </c>
      <c r="AD103" s="0" t="n">
        <f aca="false">$B103/AD$1</f>
        <v>0.00527272727272727</v>
      </c>
      <c r="AE103" s="0" t="n">
        <f aca="false">$B103/AE$1</f>
        <v>0.00508771929824561</v>
      </c>
      <c r="AF103" s="0" t="n">
        <f aca="false">$B103/AF$1</f>
        <v>0.00491525423728814</v>
      </c>
      <c r="AG103" s="0" t="n">
        <f aca="false">$B103/AG$1</f>
        <v>0.00475409836065574</v>
      </c>
      <c r="AH103" s="0" t="n">
        <f aca="false">$B103/AH$1</f>
        <v>0.0046031746031746</v>
      </c>
      <c r="AI103" s="0" t="n">
        <f aca="false">$B103/AI$1</f>
        <v>0.00446153846153846</v>
      </c>
      <c r="AJ103" s="0" t="n">
        <f aca="false">$B103/AJ$1</f>
        <v>0.00432835820895522</v>
      </c>
      <c r="AK103" s="0" t="n">
        <f aca="false">$B103/AK$1</f>
        <v>0.00420289855072464</v>
      </c>
      <c r="AL103" s="0" t="n">
        <f aca="false">$B103/AL$1</f>
        <v>0.00408450704225352</v>
      </c>
      <c r="AM103" s="0" t="n">
        <f aca="false">$B103/AM$1</f>
        <v>0.00397260273972603</v>
      </c>
      <c r="AN103" s="0" t="n">
        <f aca="false">$B103/AN$1</f>
        <v>0.00386666666666667</v>
      </c>
      <c r="AO103" s="0" t="n">
        <f aca="false">$B103/AO$1</f>
        <v>0.00376623376623377</v>
      </c>
      <c r="AP103" s="0" t="n">
        <f aca="false">$B103/AP$1</f>
        <v>0.00367088607594937</v>
      </c>
      <c r="AQ103" s="0" t="n">
        <f aca="false">$B103/AQ$1</f>
        <v>0.00358024691358025</v>
      </c>
      <c r="AR103" s="0" t="n">
        <f aca="false">$B103/AR$1</f>
        <v>0.00349397590361446</v>
      </c>
      <c r="AS103" s="0" t="n">
        <f aca="false">$B103/AS$1</f>
        <v>0.00341176470588235</v>
      </c>
      <c r="AT103" s="0" t="n">
        <f aca="false">$B103/AT$1</f>
        <v>0.00333333333333333</v>
      </c>
      <c r="AU103" s="0" t="n">
        <f aca="false">$B103/AU$1</f>
        <v>0.00325842696629213</v>
      </c>
      <c r="AV103" s="0" t="n">
        <f aca="false">$B103/AV$1</f>
        <v>0.00318681318681319</v>
      </c>
      <c r="AW103" s="0" t="n">
        <f aca="false">$B103/AW$1</f>
        <v>0.00311827956989247</v>
      </c>
      <c r="AX103" s="0" t="n">
        <f aca="false">$B103/AX$1</f>
        <v>0.00305263157894737</v>
      </c>
      <c r="AY103" s="0" t="n">
        <f aca="false">$B103/AY$1</f>
        <v>0.00298969072164948</v>
      </c>
      <c r="AZ103" s="0" t="n">
        <f aca="false">$B103/AZ$1</f>
        <v>0.00292929292929293</v>
      </c>
      <c r="BA103" s="0" t="n">
        <f aca="false">$B103/BA$1</f>
        <v>0.00287128712871287</v>
      </c>
      <c r="BB103" s="0" t="n">
        <f aca="false">$B103/BB$1</f>
        <v>0.00281553398058252</v>
      </c>
      <c r="BC103" s="0" t="n">
        <f aca="false">$B103/BC$1</f>
        <v>0.00276190476190476</v>
      </c>
      <c r="BD103" s="0" t="n">
        <f aca="false">$B103/BD$1</f>
        <v>0.00271028037383178</v>
      </c>
      <c r="BE103" s="0" t="n">
        <f aca="false">$B103/BE$1</f>
        <v>0.0026605504587156</v>
      </c>
      <c r="BF103" s="0" t="n">
        <f aca="false">$B103/BF$1</f>
        <v>0.00261261261261261</v>
      </c>
      <c r="BG103" s="0" t="n">
        <f aca="false">$B103/BG$1</f>
        <v>0.00256637168141593</v>
      </c>
      <c r="BH103" s="0" t="n">
        <f aca="false">$B103/BH$1</f>
        <v>0.00252173913043478</v>
      </c>
      <c r="BI103" s="0" t="n">
        <f aca="false">$B103/BI$1</f>
        <v>0.00247863247863248</v>
      </c>
      <c r="BJ103" s="0" t="n">
        <f aca="false">$B103/BJ$1</f>
        <v>0.00243697478991597</v>
      </c>
      <c r="BL103" s="0" t="n">
        <f aca="false">IF($B$102=1,COUNTIF(C103:BJ103,"&gt;="&amp;$C$102),0)</f>
        <v>36</v>
      </c>
      <c r="BM103" s="0" t="n">
        <f aca="false">IF($B$102=1,IF(OR(BS103&gt;=Settings!$B$5,Settings!$C$14&gt;0),MAX(BL103,Settings!$C$14),0),0)</f>
        <v>36</v>
      </c>
      <c r="BN103" s="0" t="n">
        <f aca="false">IF($B$102=1,IF(OR(BS103&gt;=Settings!$B$5,Settings!$C$14&gt;0),MAX(0,(2*MAX(BL103,Settings!$C$14)+1)*$C$102-BS103),MAX(0,Settings!$B$5-BS103)),"")</f>
        <v>0.00816901408450704</v>
      </c>
      <c r="BO103" s="0" t="n">
        <f aca="false">IF($B$102=1,IF(OR(BS103&gt;=Settings!$B$5,Settings!$C$14&gt;0),IF(BL103&lt;=Settings!$C$14,"Protected by electorates",IF(Settings!$C$14=0,MIN(BS103-(2*BL103-1)*$D$102,BS103-Settings!$B$5),BS103-(2*BL103-1)*$D$102)),""),"")</f>
        <v>0.00599999999999995</v>
      </c>
      <c r="BP103" s="0" t="n">
        <f aca="false">IF($B$102=1,IF(OR(BS103&gt;=Settings!$B$5,Settings!$C$14&gt;0),MAX(0,MIN(1,(BS103/$C$102-(2*MAX(BL103,Settings!$C$14)-1))/2)),MIN(1,BS103/Settings!$B$5)),"")</f>
        <v>0</v>
      </c>
      <c r="BQ103" s="0" t="n">
        <f aca="false">IF(AND($B$102=1,COUNTIF(C103:BJ103,$C$102)&gt;0),1,0)</f>
        <v>1</v>
      </c>
      <c r="BR103" s="0" t="n">
        <f aca="false">IF(AND($B$102=1,COUNTIF(C103:BJ103,$D$102)&gt;0),1,0)</f>
        <v>0</v>
      </c>
      <c r="BS103" s="0" t="n">
        <f aca="false">N(IF(Polls!H17="",Polls!H37,Polls!H17))</f>
        <v>0.29</v>
      </c>
      <c r="BT103" s="0" t="str">
        <f aca="false">IF(OR(BS103&gt;=Settings!$B$5,Settings!$C$14&gt;0),"Next seat","Threshold")</f>
        <v>Next seat</v>
      </c>
    </row>
    <row r="104" customFormat="false" ht="15" hidden="false" customHeight="false" outlineLevel="0" collapsed="false">
      <c r="A104" s="0" t="s">
        <v>43</v>
      </c>
      <c r="B104" s="0" t="n">
        <f aca="false">IF(OR(BS104&gt;=Settings!$B$5,Settings!$C$15&gt;0),BS104,0)</f>
        <v>0.3</v>
      </c>
      <c r="C104" s="0" t="n">
        <f aca="false">$B104/C$1</f>
        <v>0.3</v>
      </c>
      <c r="D104" s="0" t="n">
        <f aca="false">$B104/D$1</f>
        <v>0.1</v>
      </c>
      <c r="E104" s="0" t="n">
        <f aca="false">$B104/E$1</f>
        <v>0.06</v>
      </c>
      <c r="F104" s="0" t="n">
        <f aca="false">$B104/F$1</f>
        <v>0.0428571428571429</v>
      </c>
      <c r="G104" s="0" t="n">
        <f aca="false">$B104/G$1</f>
        <v>0.0333333333333333</v>
      </c>
      <c r="H104" s="0" t="n">
        <f aca="false">$B104/H$1</f>
        <v>0.0272727272727273</v>
      </c>
      <c r="I104" s="0" t="n">
        <f aca="false">$B104/I$1</f>
        <v>0.0230769230769231</v>
      </c>
      <c r="J104" s="0" t="n">
        <f aca="false">$B104/J$1</f>
        <v>0.02</v>
      </c>
      <c r="K104" s="0" t="n">
        <f aca="false">$B104/K$1</f>
        <v>0.0176470588235294</v>
      </c>
      <c r="L104" s="0" t="n">
        <f aca="false">$B104/L$1</f>
        <v>0.0157894736842105</v>
      </c>
      <c r="M104" s="0" t="n">
        <f aca="false">$B104/M$1</f>
        <v>0.0142857142857143</v>
      </c>
      <c r="N104" s="0" t="n">
        <f aca="false">$B104/N$1</f>
        <v>0.0130434782608696</v>
      </c>
      <c r="O104" s="0" t="n">
        <f aca="false">$B104/O$1</f>
        <v>0.012</v>
      </c>
      <c r="P104" s="0" t="n">
        <f aca="false">$B104/P$1</f>
        <v>0.0111111111111111</v>
      </c>
      <c r="Q104" s="0" t="n">
        <f aca="false">$B104/Q$1</f>
        <v>0.0103448275862069</v>
      </c>
      <c r="R104" s="0" t="n">
        <f aca="false">$B104/R$1</f>
        <v>0.00967741935483871</v>
      </c>
      <c r="S104" s="0" t="n">
        <f aca="false">$B104/S$1</f>
        <v>0.00909090909090909</v>
      </c>
      <c r="T104" s="0" t="n">
        <f aca="false">$B104/T$1</f>
        <v>0.00857142857142857</v>
      </c>
      <c r="U104" s="0" t="n">
        <f aca="false">$B104/U$1</f>
        <v>0.00810810810810811</v>
      </c>
      <c r="V104" s="0" t="n">
        <f aca="false">$B104/V$1</f>
        <v>0.00769230769230769</v>
      </c>
      <c r="W104" s="0" t="n">
        <f aca="false">$B104/W$1</f>
        <v>0.00731707317073171</v>
      </c>
      <c r="X104" s="0" t="n">
        <f aca="false">$B104/X$1</f>
        <v>0.00697674418604651</v>
      </c>
      <c r="Y104" s="0" t="n">
        <f aca="false">$B104/Y$1</f>
        <v>0.00666666666666667</v>
      </c>
      <c r="Z104" s="0" t="n">
        <f aca="false">$B104/Z$1</f>
        <v>0.00638297872340426</v>
      </c>
      <c r="AA104" s="0" t="n">
        <f aca="false">$B104/AA$1</f>
        <v>0.00612244897959184</v>
      </c>
      <c r="AB104" s="0" t="n">
        <f aca="false">$B104/AB$1</f>
        <v>0.00588235294117647</v>
      </c>
      <c r="AC104" s="0" t="n">
        <f aca="false">$B104/AC$1</f>
        <v>0.00566037735849057</v>
      </c>
      <c r="AD104" s="0" t="n">
        <f aca="false">$B104/AD$1</f>
        <v>0.00545454545454545</v>
      </c>
      <c r="AE104" s="0" t="n">
        <f aca="false">$B104/AE$1</f>
        <v>0.00526315789473684</v>
      </c>
      <c r="AF104" s="0" t="n">
        <f aca="false">$B104/AF$1</f>
        <v>0.00508474576271186</v>
      </c>
      <c r="AG104" s="0" t="n">
        <f aca="false">$B104/AG$1</f>
        <v>0.00491803278688525</v>
      </c>
      <c r="AH104" s="0" t="n">
        <f aca="false">$B104/AH$1</f>
        <v>0.00476190476190476</v>
      </c>
      <c r="AI104" s="0" t="n">
        <f aca="false">$B104/AI$1</f>
        <v>0.00461538461538462</v>
      </c>
      <c r="AJ104" s="0" t="n">
        <f aca="false">$B104/AJ$1</f>
        <v>0.00447761194029851</v>
      </c>
      <c r="AK104" s="0" t="n">
        <f aca="false">$B104/AK$1</f>
        <v>0.00434782608695652</v>
      </c>
      <c r="AL104" s="0" t="n">
        <f aca="false">$B104/AL$1</f>
        <v>0.00422535211267606</v>
      </c>
      <c r="AM104" s="0" t="n">
        <f aca="false">$B104/AM$1</f>
        <v>0.00410958904109589</v>
      </c>
      <c r="AN104" s="0" t="n">
        <f aca="false">$B104/AN$1</f>
        <v>0.004</v>
      </c>
      <c r="AO104" s="0" t="n">
        <f aca="false">$B104/AO$1</f>
        <v>0.0038961038961039</v>
      </c>
      <c r="AP104" s="0" t="n">
        <f aca="false">$B104/AP$1</f>
        <v>0.00379746835443038</v>
      </c>
      <c r="AQ104" s="0" t="n">
        <f aca="false">$B104/AQ$1</f>
        <v>0.0037037037037037</v>
      </c>
      <c r="AR104" s="0" t="n">
        <f aca="false">$B104/AR$1</f>
        <v>0.0036144578313253</v>
      </c>
      <c r="AS104" s="0" t="n">
        <f aca="false">$B104/AS$1</f>
        <v>0.00352941176470588</v>
      </c>
      <c r="AT104" s="0" t="n">
        <f aca="false">$B104/AT$1</f>
        <v>0.00344827586206897</v>
      </c>
      <c r="AU104" s="0" t="n">
        <f aca="false">$B104/AU$1</f>
        <v>0.00337078651685393</v>
      </c>
      <c r="AV104" s="0" t="n">
        <f aca="false">$B104/AV$1</f>
        <v>0.0032967032967033</v>
      </c>
      <c r="AW104" s="0" t="n">
        <f aca="false">$B104/AW$1</f>
        <v>0.0032258064516129</v>
      </c>
      <c r="AX104" s="0" t="n">
        <f aca="false">$B104/AX$1</f>
        <v>0.00315789473684211</v>
      </c>
      <c r="AY104" s="0" t="n">
        <f aca="false">$B104/AY$1</f>
        <v>0.00309278350515464</v>
      </c>
      <c r="AZ104" s="0" t="n">
        <f aca="false">$B104/AZ$1</f>
        <v>0.00303030303030303</v>
      </c>
      <c r="BA104" s="0" t="n">
        <f aca="false">$B104/BA$1</f>
        <v>0.00297029702970297</v>
      </c>
      <c r="BB104" s="0" t="n">
        <f aca="false">$B104/BB$1</f>
        <v>0.0029126213592233</v>
      </c>
      <c r="BC104" s="0" t="n">
        <f aca="false">$B104/BC$1</f>
        <v>0.00285714285714286</v>
      </c>
      <c r="BD104" s="0" t="n">
        <f aca="false">$B104/BD$1</f>
        <v>0.00280373831775701</v>
      </c>
      <c r="BE104" s="0" t="n">
        <f aca="false">$B104/BE$1</f>
        <v>0.00275229357798165</v>
      </c>
      <c r="BF104" s="0" t="n">
        <f aca="false">$B104/BF$1</f>
        <v>0.0027027027027027</v>
      </c>
      <c r="BG104" s="0" t="n">
        <f aca="false">$B104/BG$1</f>
        <v>0.00265486725663717</v>
      </c>
      <c r="BH104" s="0" t="n">
        <f aca="false">$B104/BH$1</f>
        <v>0.00260869565217391</v>
      </c>
      <c r="BI104" s="0" t="n">
        <f aca="false">$B104/BI$1</f>
        <v>0.00256410256410256</v>
      </c>
      <c r="BJ104" s="0" t="n">
        <f aca="false">$B104/BJ$1</f>
        <v>0.00252100840336134</v>
      </c>
      <c r="BL104" s="0" t="n">
        <f aca="false">IF($B$102=1,COUNTIF(C104:BJ104,"&gt;="&amp;$C$102),0)</f>
        <v>37</v>
      </c>
      <c r="BM104" s="0" t="n">
        <f aca="false">IF($B$102=1,IF(OR(BS104&gt;=Settings!$B$5,Settings!$C$15&gt;0),MAX(BL104,Settings!$C$15),0),0)</f>
        <v>37</v>
      </c>
      <c r="BN104" s="0" t="n">
        <f aca="false">IF($B$102=1,IF(OR(BS104&gt;=Settings!$B$5,Settings!$C$15&gt;0),MAX(0,(2*MAX(BL104,Settings!$C$15)+1)*$C$102-BS104),MAX(0,Settings!$B$5-BS104)),"")</f>
        <v>0.00633802816901413</v>
      </c>
      <c r="BO104" s="0" t="n">
        <f aca="false">IF($B$102=1,IF(OR(BS104&gt;=Settings!$B$5,Settings!$C$15&gt;0),IF(BL104&lt;=Settings!$C$15,"Protected by electorates",IF(Settings!$C$15=0,MIN(BS104-(2*BL104-1)*$D$102,BS104-Settings!$B$5),BS104-(2*BL104-1)*$D$102)),""),"")</f>
        <v>0.00800000000000001</v>
      </c>
      <c r="BP104" s="0" t="n">
        <f aca="false">IF($B$102=1,IF(OR(BS104&gt;=Settings!$B$5,Settings!$C$15&gt;0),MAX(0,MIN(1,(BS104/$C$102-(2*MAX(BL104,Settings!$C$15)-1))/2)),MIN(1,BS104/Settings!$B$5)),"")</f>
        <v>0.224137931034477</v>
      </c>
      <c r="BQ104" s="0" t="n">
        <f aca="false">IF(AND($B$102=1,COUNTIF(C104:BJ104,$C$102)&gt;0),1,0)</f>
        <v>0</v>
      </c>
      <c r="BR104" s="0" t="n">
        <f aca="false">IF(AND($B$102=1,COUNTIF(C104:BJ104,$D$102)&gt;0),1,0)</f>
        <v>1</v>
      </c>
      <c r="BS104" s="0" t="n">
        <f aca="false">N(IF(Polls!I17="",Polls!I37,Polls!I17))</f>
        <v>0.3</v>
      </c>
      <c r="BT104" s="0" t="str">
        <f aca="false">IF(OR(BS104&gt;=Settings!$B$5,Settings!$C$15&gt;0),"Next seat","Threshold")</f>
        <v>Next seat</v>
      </c>
    </row>
    <row r="105" customFormat="false" ht="15" hidden="false" customHeight="false" outlineLevel="0" collapsed="false">
      <c r="A105" s="0" t="s">
        <v>45</v>
      </c>
      <c r="B105" s="0" t="n">
        <f aca="false">IF(OR(BS105&gt;=Settings!$B$5,Settings!$C$16&gt;0),BS105,0)</f>
        <v>0.12</v>
      </c>
      <c r="C105" s="0" t="n">
        <f aca="false">$B105/C$1</f>
        <v>0.12</v>
      </c>
      <c r="D105" s="0" t="n">
        <f aca="false">$B105/D$1</f>
        <v>0.04</v>
      </c>
      <c r="E105" s="0" t="n">
        <f aca="false">$B105/E$1</f>
        <v>0.024</v>
      </c>
      <c r="F105" s="0" t="n">
        <f aca="false">$B105/F$1</f>
        <v>0.0171428571428571</v>
      </c>
      <c r="G105" s="0" t="n">
        <f aca="false">$B105/G$1</f>
        <v>0.0133333333333333</v>
      </c>
      <c r="H105" s="0" t="n">
        <f aca="false">$B105/H$1</f>
        <v>0.0109090909090909</v>
      </c>
      <c r="I105" s="0" t="n">
        <f aca="false">$B105/I$1</f>
        <v>0.00923076923076923</v>
      </c>
      <c r="J105" s="0" t="n">
        <f aca="false">$B105/J$1</f>
        <v>0.008</v>
      </c>
      <c r="K105" s="0" t="n">
        <f aca="false">$B105/K$1</f>
        <v>0.00705882352941176</v>
      </c>
      <c r="L105" s="0" t="n">
        <f aca="false">$B105/L$1</f>
        <v>0.00631578947368421</v>
      </c>
      <c r="M105" s="0" t="n">
        <f aca="false">$B105/M$1</f>
        <v>0.00571428571428571</v>
      </c>
      <c r="N105" s="0" t="n">
        <f aca="false">$B105/N$1</f>
        <v>0.00521739130434783</v>
      </c>
      <c r="O105" s="0" t="n">
        <f aca="false">$B105/O$1</f>
        <v>0.0048</v>
      </c>
      <c r="P105" s="0" t="n">
        <f aca="false">$B105/P$1</f>
        <v>0.00444444444444444</v>
      </c>
      <c r="Q105" s="0" t="n">
        <f aca="false">$B105/Q$1</f>
        <v>0.00413793103448276</v>
      </c>
      <c r="R105" s="0" t="n">
        <f aca="false">$B105/R$1</f>
        <v>0.00387096774193548</v>
      </c>
      <c r="S105" s="0" t="n">
        <f aca="false">$B105/S$1</f>
        <v>0.00363636363636364</v>
      </c>
      <c r="T105" s="0" t="n">
        <f aca="false">$B105/T$1</f>
        <v>0.00342857142857143</v>
      </c>
      <c r="U105" s="0" t="n">
        <f aca="false">$B105/U$1</f>
        <v>0.00324324324324324</v>
      </c>
      <c r="V105" s="0" t="n">
        <f aca="false">$B105/V$1</f>
        <v>0.00307692307692308</v>
      </c>
      <c r="W105" s="0" t="n">
        <f aca="false">$B105/W$1</f>
        <v>0.00292682926829268</v>
      </c>
      <c r="X105" s="0" t="n">
        <f aca="false">$B105/X$1</f>
        <v>0.0027906976744186</v>
      </c>
      <c r="Y105" s="0" t="n">
        <f aca="false">$B105/Y$1</f>
        <v>0.00266666666666667</v>
      </c>
      <c r="Z105" s="0" t="n">
        <f aca="false">$B105/Z$1</f>
        <v>0.0025531914893617</v>
      </c>
      <c r="AA105" s="0" t="n">
        <f aca="false">$B105/AA$1</f>
        <v>0.00244897959183673</v>
      </c>
      <c r="AB105" s="0" t="n">
        <f aca="false">$B105/AB$1</f>
        <v>0.00235294117647059</v>
      </c>
      <c r="AC105" s="0" t="n">
        <f aca="false">$B105/AC$1</f>
        <v>0.00226415094339623</v>
      </c>
      <c r="AD105" s="0" t="n">
        <f aca="false">$B105/AD$1</f>
        <v>0.00218181818181818</v>
      </c>
      <c r="AE105" s="0" t="n">
        <f aca="false">$B105/AE$1</f>
        <v>0.00210526315789474</v>
      </c>
      <c r="AF105" s="0" t="n">
        <f aca="false">$B105/AF$1</f>
        <v>0.00203389830508475</v>
      </c>
      <c r="AG105" s="0" t="n">
        <f aca="false">$B105/AG$1</f>
        <v>0.0019672131147541</v>
      </c>
      <c r="AH105" s="0" t="n">
        <f aca="false">$B105/AH$1</f>
        <v>0.0019047619047619</v>
      </c>
      <c r="AI105" s="0" t="n">
        <f aca="false">$B105/AI$1</f>
        <v>0.00184615384615385</v>
      </c>
      <c r="AJ105" s="0" t="n">
        <f aca="false">$B105/AJ$1</f>
        <v>0.0017910447761194</v>
      </c>
      <c r="AK105" s="0" t="n">
        <f aca="false">$B105/AK$1</f>
        <v>0.00173913043478261</v>
      </c>
      <c r="AL105" s="0" t="n">
        <f aca="false">$B105/AL$1</f>
        <v>0.00169014084507042</v>
      </c>
      <c r="AM105" s="0" t="n">
        <f aca="false">$B105/AM$1</f>
        <v>0.00164383561643836</v>
      </c>
      <c r="AN105" s="0" t="n">
        <f aca="false">$B105/AN$1</f>
        <v>0.0016</v>
      </c>
      <c r="AO105" s="0" t="n">
        <f aca="false">$B105/AO$1</f>
        <v>0.00155844155844156</v>
      </c>
      <c r="AP105" s="0" t="n">
        <f aca="false">$B105/AP$1</f>
        <v>0.00151898734177215</v>
      </c>
      <c r="AQ105" s="0" t="n">
        <f aca="false">$B105/AQ$1</f>
        <v>0.00148148148148148</v>
      </c>
      <c r="AR105" s="0" t="n">
        <f aca="false">$B105/AR$1</f>
        <v>0.00144578313253012</v>
      </c>
      <c r="AS105" s="0" t="n">
        <f aca="false">$B105/AS$1</f>
        <v>0.00141176470588235</v>
      </c>
      <c r="AT105" s="0" t="n">
        <f aca="false">$B105/AT$1</f>
        <v>0.00137931034482759</v>
      </c>
      <c r="AU105" s="0" t="n">
        <f aca="false">$B105/AU$1</f>
        <v>0.00134831460674157</v>
      </c>
      <c r="AV105" s="0" t="n">
        <f aca="false">$B105/AV$1</f>
        <v>0.00131868131868132</v>
      </c>
      <c r="AW105" s="0" t="n">
        <f aca="false">$B105/AW$1</f>
        <v>0.00129032258064516</v>
      </c>
      <c r="AX105" s="0" t="n">
        <f aca="false">$B105/AX$1</f>
        <v>0.00126315789473684</v>
      </c>
      <c r="AY105" s="0" t="n">
        <f aca="false">$B105/AY$1</f>
        <v>0.00123711340206186</v>
      </c>
      <c r="AZ105" s="0" t="n">
        <f aca="false">$B105/AZ$1</f>
        <v>0.00121212121212121</v>
      </c>
      <c r="BA105" s="0" t="n">
        <f aca="false">$B105/BA$1</f>
        <v>0.00118811881188119</v>
      </c>
      <c r="BB105" s="0" t="n">
        <f aca="false">$B105/BB$1</f>
        <v>0.00116504854368932</v>
      </c>
      <c r="BC105" s="0" t="n">
        <f aca="false">$B105/BC$1</f>
        <v>0.00114285714285714</v>
      </c>
      <c r="BD105" s="0" t="n">
        <f aca="false">$B105/BD$1</f>
        <v>0.0011214953271028</v>
      </c>
      <c r="BE105" s="0" t="n">
        <f aca="false">$B105/BE$1</f>
        <v>0.00110091743119266</v>
      </c>
      <c r="BF105" s="0" t="n">
        <f aca="false">$B105/BF$1</f>
        <v>0.00108108108108108</v>
      </c>
      <c r="BG105" s="0" t="n">
        <f aca="false">$B105/BG$1</f>
        <v>0.00106194690265487</v>
      </c>
      <c r="BH105" s="0" t="n">
        <f aca="false">$B105/BH$1</f>
        <v>0.00104347826086957</v>
      </c>
      <c r="BI105" s="0" t="n">
        <f aca="false">$B105/BI$1</f>
        <v>0.00102564102564103</v>
      </c>
      <c r="BJ105" s="0" t="n">
        <f aca="false">$B105/BJ$1</f>
        <v>0.00100840336134454</v>
      </c>
      <c r="BL105" s="0" t="n">
        <f aca="false">IF($B$102=1,COUNTIF(C105:BJ105,"&gt;="&amp;$C$102),0)</f>
        <v>15</v>
      </c>
      <c r="BM105" s="0" t="n">
        <f aca="false">IF($B$102=1,IF(OR(BS105&gt;=Settings!$B$5,Settings!$C$16&gt;0),MAX(BL105,Settings!$C$16),0),0)</f>
        <v>15</v>
      </c>
      <c r="BN105" s="0" t="n">
        <f aca="false">IF($B$102=1,IF(OR(BS105&gt;=Settings!$B$5,Settings!$C$16&gt;0),MAX(0,(2*MAX(BL105,Settings!$C$16)+1)*$C$102-BS105),MAX(0,Settings!$B$5-BS105)),"")</f>
        <v>0.00661971830985916</v>
      </c>
      <c r="BO105" s="0" t="n">
        <f aca="false">IF($B$102=1,IF(OR(BS105&gt;=Settings!$B$5,Settings!$C$16&gt;0),IF(BL105&lt;=Settings!$C$16,"Protected by electorates",IF(Settings!$C$16=0,MIN(BS105-(2*BL105-1)*$D$102,BS105-Settings!$B$5),BS105-(2*BL105-1)*$D$102)),""),"")</f>
        <v>0.00399999999999999</v>
      </c>
      <c r="BP105" s="0" t="n">
        <f aca="false">IF($B$102=1,IF(OR(BS105&gt;=Settings!$B$5,Settings!$C$16&gt;0),MAX(0,MIN(1,(BS105/$C$102-(2*MAX(BL105,Settings!$C$16)-1))/2)),MIN(1,BS105/Settings!$B$5)),"")</f>
        <v>0.189655172413792</v>
      </c>
      <c r="BQ105" s="0" t="n">
        <f aca="false">IF(AND($B$102=1,COUNTIF(C105:BJ105,$C$102)&gt;0),1,0)</f>
        <v>0</v>
      </c>
      <c r="BR105" s="0" t="n">
        <f aca="false">IF(AND($B$102=1,COUNTIF(C105:BJ105,$D$102)&gt;0),1,0)</f>
        <v>0</v>
      </c>
      <c r="BS105" s="0" t="n">
        <f aca="false">N(IF(Polls!J17="",Polls!J37,Polls!J17))</f>
        <v>0.12</v>
      </c>
      <c r="BT105" s="0" t="str">
        <f aca="false">IF(OR(BS105&gt;=Settings!$B$5,Settings!$C$16&gt;0),"Next seat","Threshold")</f>
        <v>Next seat</v>
      </c>
    </row>
    <row r="106" customFormat="false" ht="15" hidden="false" customHeight="false" outlineLevel="0" collapsed="false">
      <c r="A106" s="0" t="s">
        <v>46</v>
      </c>
      <c r="B106" s="0" t="n">
        <f aca="false">IF(OR(BS106&gt;=Settings!$B$5,Settings!$C$17&gt;0),BS106,0)</f>
        <v>0.09</v>
      </c>
      <c r="C106" s="0" t="n">
        <f aca="false">$B106/C$1</f>
        <v>0.09</v>
      </c>
      <c r="D106" s="0" t="n">
        <f aca="false">$B106/D$1</f>
        <v>0.03</v>
      </c>
      <c r="E106" s="0" t="n">
        <f aca="false">$B106/E$1</f>
        <v>0.018</v>
      </c>
      <c r="F106" s="0" t="n">
        <f aca="false">$B106/F$1</f>
        <v>0.0128571428571429</v>
      </c>
      <c r="G106" s="0" t="n">
        <f aca="false">$B106/G$1</f>
        <v>0.01</v>
      </c>
      <c r="H106" s="0" t="n">
        <f aca="false">$B106/H$1</f>
        <v>0.00818181818181818</v>
      </c>
      <c r="I106" s="0" t="n">
        <f aca="false">$B106/I$1</f>
        <v>0.00692307692307692</v>
      </c>
      <c r="J106" s="0" t="n">
        <f aca="false">$B106/J$1</f>
        <v>0.006</v>
      </c>
      <c r="K106" s="0" t="n">
        <f aca="false">$B106/K$1</f>
        <v>0.00529411764705882</v>
      </c>
      <c r="L106" s="0" t="n">
        <f aca="false">$B106/L$1</f>
        <v>0.00473684210526316</v>
      </c>
      <c r="M106" s="0" t="n">
        <f aca="false">$B106/M$1</f>
        <v>0.00428571428571429</v>
      </c>
      <c r="N106" s="0" t="n">
        <f aca="false">$B106/N$1</f>
        <v>0.00391304347826087</v>
      </c>
      <c r="O106" s="0" t="n">
        <f aca="false">$B106/O$1</f>
        <v>0.0036</v>
      </c>
      <c r="P106" s="0" t="n">
        <f aca="false">$B106/P$1</f>
        <v>0.00333333333333333</v>
      </c>
      <c r="Q106" s="0" t="n">
        <f aca="false">$B106/Q$1</f>
        <v>0.00310344827586207</v>
      </c>
      <c r="R106" s="0" t="n">
        <f aca="false">$B106/R$1</f>
        <v>0.00290322580645161</v>
      </c>
      <c r="S106" s="0" t="n">
        <f aca="false">$B106/S$1</f>
        <v>0.00272727272727273</v>
      </c>
      <c r="T106" s="0" t="n">
        <f aca="false">$B106/T$1</f>
        <v>0.00257142857142857</v>
      </c>
      <c r="U106" s="0" t="n">
        <f aca="false">$B106/U$1</f>
        <v>0.00243243243243243</v>
      </c>
      <c r="V106" s="0" t="n">
        <f aca="false">$B106/V$1</f>
        <v>0.00230769230769231</v>
      </c>
      <c r="W106" s="0" t="n">
        <f aca="false">$B106/W$1</f>
        <v>0.00219512195121951</v>
      </c>
      <c r="X106" s="0" t="n">
        <f aca="false">$B106/X$1</f>
        <v>0.00209302325581395</v>
      </c>
      <c r="Y106" s="0" t="n">
        <f aca="false">$B106/Y$1</f>
        <v>0.002</v>
      </c>
      <c r="Z106" s="0" t="n">
        <f aca="false">$B106/Z$1</f>
        <v>0.00191489361702128</v>
      </c>
      <c r="AA106" s="0" t="n">
        <f aca="false">$B106/AA$1</f>
        <v>0.00183673469387755</v>
      </c>
      <c r="AB106" s="0" t="n">
        <f aca="false">$B106/AB$1</f>
        <v>0.00176470588235294</v>
      </c>
      <c r="AC106" s="0" t="n">
        <f aca="false">$B106/AC$1</f>
        <v>0.00169811320754717</v>
      </c>
      <c r="AD106" s="0" t="n">
        <f aca="false">$B106/AD$1</f>
        <v>0.00163636363636364</v>
      </c>
      <c r="AE106" s="0" t="n">
        <f aca="false">$B106/AE$1</f>
        <v>0.00157894736842105</v>
      </c>
      <c r="AF106" s="0" t="n">
        <f aca="false">$B106/AF$1</f>
        <v>0.00152542372881356</v>
      </c>
      <c r="AG106" s="0" t="n">
        <f aca="false">$B106/AG$1</f>
        <v>0.00147540983606557</v>
      </c>
      <c r="AH106" s="0" t="n">
        <f aca="false">$B106/AH$1</f>
        <v>0.00142857142857143</v>
      </c>
      <c r="AI106" s="0" t="n">
        <f aca="false">$B106/AI$1</f>
        <v>0.00138461538461538</v>
      </c>
      <c r="AJ106" s="0" t="n">
        <f aca="false">$B106/AJ$1</f>
        <v>0.00134328358208955</v>
      </c>
      <c r="AK106" s="0" t="n">
        <f aca="false">$B106/AK$1</f>
        <v>0.00130434782608696</v>
      </c>
      <c r="AL106" s="0" t="n">
        <f aca="false">$B106/AL$1</f>
        <v>0.00126760563380282</v>
      </c>
      <c r="AM106" s="0" t="n">
        <f aca="false">$B106/AM$1</f>
        <v>0.00123287671232877</v>
      </c>
      <c r="AN106" s="0" t="n">
        <f aca="false">$B106/AN$1</f>
        <v>0.0012</v>
      </c>
      <c r="AO106" s="0" t="n">
        <f aca="false">$B106/AO$1</f>
        <v>0.00116883116883117</v>
      </c>
      <c r="AP106" s="0" t="n">
        <f aca="false">$B106/AP$1</f>
        <v>0.00113924050632911</v>
      </c>
      <c r="AQ106" s="0" t="n">
        <f aca="false">$B106/AQ$1</f>
        <v>0.00111111111111111</v>
      </c>
      <c r="AR106" s="0" t="n">
        <f aca="false">$B106/AR$1</f>
        <v>0.00108433734939759</v>
      </c>
      <c r="AS106" s="0" t="n">
        <f aca="false">$B106/AS$1</f>
        <v>0.00105882352941176</v>
      </c>
      <c r="AT106" s="0" t="n">
        <f aca="false">$B106/AT$1</f>
        <v>0.00103448275862069</v>
      </c>
      <c r="AU106" s="0" t="n">
        <f aca="false">$B106/AU$1</f>
        <v>0.00101123595505618</v>
      </c>
      <c r="AV106" s="0" t="n">
        <f aca="false">$B106/AV$1</f>
        <v>0.000989010989010989</v>
      </c>
      <c r="AW106" s="0" t="n">
        <f aca="false">$B106/AW$1</f>
        <v>0.000967741935483871</v>
      </c>
      <c r="AX106" s="0" t="n">
        <f aca="false">$B106/AX$1</f>
        <v>0.000947368421052632</v>
      </c>
      <c r="AY106" s="0" t="n">
        <f aca="false">$B106/AY$1</f>
        <v>0.000927835051546392</v>
      </c>
      <c r="AZ106" s="0" t="n">
        <f aca="false">$B106/AZ$1</f>
        <v>0.000909090909090909</v>
      </c>
      <c r="BA106" s="0" t="n">
        <f aca="false">$B106/BA$1</f>
        <v>0.000891089108910891</v>
      </c>
      <c r="BB106" s="0" t="n">
        <f aca="false">$B106/BB$1</f>
        <v>0.00087378640776699</v>
      </c>
      <c r="BC106" s="0" t="n">
        <f aca="false">$B106/BC$1</f>
        <v>0.000857142857142857</v>
      </c>
      <c r="BD106" s="0" t="n">
        <f aca="false">$B106/BD$1</f>
        <v>0.000841121495327103</v>
      </c>
      <c r="BE106" s="0" t="n">
        <f aca="false">$B106/BE$1</f>
        <v>0.000825688073394495</v>
      </c>
      <c r="BF106" s="0" t="n">
        <f aca="false">$B106/BF$1</f>
        <v>0.000810810810810811</v>
      </c>
      <c r="BG106" s="0" t="n">
        <f aca="false">$B106/BG$1</f>
        <v>0.00079646017699115</v>
      </c>
      <c r="BH106" s="0" t="n">
        <f aca="false">$B106/BH$1</f>
        <v>0.000782608695652174</v>
      </c>
      <c r="BI106" s="0" t="n">
        <f aca="false">$B106/BI$1</f>
        <v>0.000769230769230769</v>
      </c>
      <c r="BJ106" s="0" t="n">
        <f aca="false">$B106/BJ$1</f>
        <v>0.000756302521008403</v>
      </c>
      <c r="BL106" s="0" t="n">
        <f aca="false">IF($B$102=1,COUNTIF(C106:BJ106,"&gt;="&amp;$C$102),0)</f>
        <v>11</v>
      </c>
      <c r="BM106" s="0" t="n">
        <f aca="false">IF($B$102=1,IF(OR(BS106&gt;=Settings!$B$5,Settings!$C$17&gt;0),MAX(BL106,Settings!$C$17),0),0)</f>
        <v>11</v>
      </c>
      <c r="BN106" s="0" t="n">
        <f aca="false">IF($B$102=1,IF(OR(BS106&gt;=Settings!$B$5,Settings!$C$17&gt;0),MAX(0,(2*MAX(BL106,Settings!$C$17)+1)*$C$102-BS106),MAX(0,Settings!$B$5-BS106)),"")</f>
        <v>0.00394366197183099</v>
      </c>
      <c r="BO106" s="0" t="n">
        <f aca="false">IF($B$102=1,IF(OR(BS106&gt;=Settings!$B$5,Settings!$C$17&gt;0),IF(BL106&lt;=Settings!$C$17,"Protected by electorates",IF(Settings!$C$17=0,MIN(BS106-(2*BL106-1)*$D$102,BS106-Settings!$B$5),BS106-(2*BL106-1)*$D$102)),""),"")</f>
        <v>0.00599999999999999</v>
      </c>
      <c r="BP106" s="0" t="n">
        <f aca="false">IF($B$102=1,IF(OR(BS106&gt;=Settings!$B$5,Settings!$C$17&gt;0),MAX(0,MIN(1,(BS106/$C$102-(2*MAX(BL106,Settings!$C$17)-1))/2)),MIN(1,BS106/Settings!$B$5)),"")</f>
        <v>0.517241379310343</v>
      </c>
      <c r="BQ106" s="0" t="n">
        <f aca="false">IF(AND($B$102=1,COUNTIF(C106:BJ106,$C$102)&gt;0),1,0)</f>
        <v>0</v>
      </c>
      <c r="BR106" s="0" t="n">
        <f aca="false">IF(AND($B$102=1,COUNTIF(C106:BJ106,$D$102)&gt;0),1,0)</f>
        <v>0</v>
      </c>
      <c r="BS106" s="0" t="n">
        <f aca="false">N(IF(Polls!K17="",Polls!K37,Polls!K17))</f>
        <v>0.09</v>
      </c>
      <c r="BT106" s="0" t="str">
        <f aca="false">IF(OR(BS106&gt;=Settings!$B$5,Settings!$C$17&gt;0),"Next seat","Threshold")</f>
        <v>Next seat</v>
      </c>
    </row>
    <row r="107" customFormat="false" ht="15" hidden="false" customHeight="false" outlineLevel="0" collapsed="false">
      <c r="A107" s="0" t="s">
        <v>48</v>
      </c>
      <c r="B107" s="0" t="n">
        <f aca="false">IF(OR(BS107&gt;=Settings!$B$5,Settings!$C$18&gt;0),BS107,0)</f>
        <v>0.08</v>
      </c>
      <c r="C107" s="0" t="n">
        <f aca="false">$B107/C$1</f>
        <v>0.08</v>
      </c>
      <c r="D107" s="0" t="n">
        <f aca="false">$B107/D$1</f>
        <v>0.0266666666666667</v>
      </c>
      <c r="E107" s="0" t="n">
        <f aca="false">$B107/E$1</f>
        <v>0.016</v>
      </c>
      <c r="F107" s="0" t="n">
        <f aca="false">$B107/F$1</f>
        <v>0.0114285714285714</v>
      </c>
      <c r="G107" s="0" t="n">
        <f aca="false">$B107/G$1</f>
        <v>0.00888888888888889</v>
      </c>
      <c r="H107" s="0" t="n">
        <f aca="false">$B107/H$1</f>
        <v>0.00727272727272727</v>
      </c>
      <c r="I107" s="0" t="n">
        <f aca="false">$B107/I$1</f>
        <v>0.00615384615384615</v>
      </c>
      <c r="J107" s="0" t="n">
        <f aca="false">$B107/J$1</f>
        <v>0.00533333333333333</v>
      </c>
      <c r="K107" s="0" t="n">
        <f aca="false">$B107/K$1</f>
        <v>0.00470588235294118</v>
      </c>
      <c r="L107" s="0" t="n">
        <f aca="false">$B107/L$1</f>
        <v>0.00421052631578947</v>
      </c>
      <c r="M107" s="0" t="n">
        <f aca="false">$B107/M$1</f>
        <v>0.00380952380952381</v>
      </c>
      <c r="N107" s="0" t="n">
        <f aca="false">$B107/N$1</f>
        <v>0.00347826086956522</v>
      </c>
      <c r="O107" s="0" t="n">
        <f aca="false">$B107/O$1</f>
        <v>0.0032</v>
      </c>
      <c r="P107" s="0" t="n">
        <f aca="false">$B107/P$1</f>
        <v>0.00296296296296296</v>
      </c>
      <c r="Q107" s="0" t="n">
        <f aca="false">$B107/Q$1</f>
        <v>0.00275862068965517</v>
      </c>
      <c r="R107" s="0" t="n">
        <f aca="false">$B107/R$1</f>
        <v>0.00258064516129032</v>
      </c>
      <c r="S107" s="0" t="n">
        <f aca="false">$B107/S$1</f>
        <v>0.00242424242424242</v>
      </c>
      <c r="T107" s="0" t="n">
        <f aca="false">$B107/T$1</f>
        <v>0.00228571428571429</v>
      </c>
      <c r="U107" s="0" t="n">
        <f aca="false">$B107/U$1</f>
        <v>0.00216216216216216</v>
      </c>
      <c r="V107" s="0" t="n">
        <f aca="false">$B107/V$1</f>
        <v>0.00205128205128205</v>
      </c>
      <c r="W107" s="0" t="n">
        <f aca="false">$B107/W$1</f>
        <v>0.00195121951219512</v>
      </c>
      <c r="X107" s="0" t="n">
        <f aca="false">$B107/X$1</f>
        <v>0.00186046511627907</v>
      </c>
      <c r="Y107" s="0" t="n">
        <f aca="false">$B107/Y$1</f>
        <v>0.00177777777777778</v>
      </c>
      <c r="Z107" s="0" t="n">
        <f aca="false">$B107/Z$1</f>
        <v>0.00170212765957447</v>
      </c>
      <c r="AA107" s="0" t="n">
        <f aca="false">$B107/AA$1</f>
        <v>0.00163265306122449</v>
      </c>
      <c r="AB107" s="0" t="n">
        <f aca="false">$B107/AB$1</f>
        <v>0.00156862745098039</v>
      </c>
      <c r="AC107" s="0" t="n">
        <f aca="false">$B107/AC$1</f>
        <v>0.00150943396226415</v>
      </c>
      <c r="AD107" s="0" t="n">
        <f aca="false">$B107/AD$1</f>
        <v>0.00145454545454545</v>
      </c>
      <c r="AE107" s="0" t="n">
        <f aca="false">$B107/AE$1</f>
        <v>0.00140350877192982</v>
      </c>
      <c r="AF107" s="0" t="n">
        <f aca="false">$B107/AF$1</f>
        <v>0.00135593220338983</v>
      </c>
      <c r="AG107" s="0" t="n">
        <f aca="false">$B107/AG$1</f>
        <v>0.00131147540983607</v>
      </c>
      <c r="AH107" s="0" t="n">
        <f aca="false">$B107/AH$1</f>
        <v>0.00126984126984127</v>
      </c>
      <c r="AI107" s="0" t="n">
        <f aca="false">$B107/AI$1</f>
        <v>0.00123076923076923</v>
      </c>
      <c r="AJ107" s="0" t="n">
        <f aca="false">$B107/AJ$1</f>
        <v>0.00119402985074627</v>
      </c>
      <c r="AK107" s="0" t="n">
        <f aca="false">$B107/AK$1</f>
        <v>0.00115942028985507</v>
      </c>
      <c r="AL107" s="0" t="n">
        <f aca="false">$B107/AL$1</f>
        <v>0.00112676056338028</v>
      </c>
      <c r="AM107" s="0" t="n">
        <f aca="false">$B107/AM$1</f>
        <v>0.0010958904109589</v>
      </c>
      <c r="AN107" s="0" t="n">
        <f aca="false">$B107/AN$1</f>
        <v>0.00106666666666667</v>
      </c>
      <c r="AO107" s="0" t="n">
        <f aca="false">$B107/AO$1</f>
        <v>0.00103896103896104</v>
      </c>
      <c r="AP107" s="0" t="n">
        <f aca="false">$B107/AP$1</f>
        <v>0.0010126582278481</v>
      </c>
      <c r="AQ107" s="0" t="n">
        <f aca="false">$B107/AQ$1</f>
        <v>0.000987654320987654</v>
      </c>
      <c r="AR107" s="0" t="n">
        <f aca="false">$B107/AR$1</f>
        <v>0.000963855421686747</v>
      </c>
      <c r="AS107" s="0" t="n">
        <f aca="false">$B107/AS$1</f>
        <v>0.000941176470588235</v>
      </c>
      <c r="AT107" s="0" t="n">
        <f aca="false">$B107/AT$1</f>
        <v>0.000919540229885057</v>
      </c>
      <c r="AU107" s="0" t="n">
        <f aca="false">$B107/AU$1</f>
        <v>0.000898876404494382</v>
      </c>
      <c r="AV107" s="0" t="n">
        <f aca="false">$B107/AV$1</f>
        <v>0.000879120879120879</v>
      </c>
      <c r="AW107" s="0" t="n">
        <f aca="false">$B107/AW$1</f>
        <v>0.000860215053763441</v>
      </c>
      <c r="AX107" s="0" t="n">
        <f aca="false">$B107/AX$1</f>
        <v>0.000842105263157895</v>
      </c>
      <c r="AY107" s="0" t="n">
        <f aca="false">$B107/AY$1</f>
        <v>0.000824742268041237</v>
      </c>
      <c r="AZ107" s="0" t="n">
        <f aca="false">$B107/AZ$1</f>
        <v>0.000808080808080808</v>
      </c>
      <c r="BA107" s="0" t="n">
        <f aca="false">$B107/BA$1</f>
        <v>0.000792079207920792</v>
      </c>
      <c r="BB107" s="0" t="n">
        <f aca="false">$B107/BB$1</f>
        <v>0.000776699029126214</v>
      </c>
      <c r="BC107" s="0" t="n">
        <f aca="false">$B107/BC$1</f>
        <v>0.000761904761904762</v>
      </c>
      <c r="BD107" s="0" t="n">
        <f aca="false">$B107/BD$1</f>
        <v>0.000747663551401869</v>
      </c>
      <c r="BE107" s="0" t="n">
        <f aca="false">$B107/BE$1</f>
        <v>0.00073394495412844</v>
      </c>
      <c r="BF107" s="0" t="n">
        <f aca="false">$B107/BF$1</f>
        <v>0.000720720720720721</v>
      </c>
      <c r="BG107" s="0" t="n">
        <f aca="false">$B107/BG$1</f>
        <v>0.000707964601769912</v>
      </c>
      <c r="BH107" s="0" t="n">
        <f aca="false">$B107/BH$1</f>
        <v>0.000695652173913044</v>
      </c>
      <c r="BI107" s="0" t="n">
        <f aca="false">$B107/BI$1</f>
        <v>0.000683760683760684</v>
      </c>
      <c r="BJ107" s="0" t="n">
        <f aca="false">$B107/BJ$1</f>
        <v>0.000672268907563025</v>
      </c>
      <c r="BL107" s="0" t="n">
        <f aca="false">IF($B$102=1,COUNTIF(C107:BJ107,"&gt;="&amp;$C$102),0)</f>
        <v>10</v>
      </c>
      <c r="BM107" s="0" t="n">
        <f aca="false">IF($B$102=1,IF(OR(BS107&gt;=Settings!$B$5,Settings!$C$18&gt;0),MAX(BL107,Settings!$C$18),0),0)</f>
        <v>10</v>
      </c>
      <c r="BN107" s="0" t="n">
        <f aca="false">IF($B$102=1,IF(OR(BS107&gt;=Settings!$B$5,Settings!$C$18&gt;0),MAX(0,(2*MAX(BL107,Settings!$C$18)+1)*$C$102-BS107),MAX(0,Settings!$B$5-BS107)),"")</f>
        <v>0.00577464788732394</v>
      </c>
      <c r="BO107" s="0" t="n">
        <f aca="false">IF($B$102=1,IF(OR(BS107&gt;=Settings!$B$5,Settings!$C$18&gt;0),IF(BL107&lt;=Settings!$C$18,"Protected by electorates",IF(Settings!$C$18=0,MIN(BS107-(2*BL107-1)*$D$102,BS107-Settings!$B$5),BS107-(2*BL107-1)*$D$102)),""),"")</f>
        <v>0.004</v>
      </c>
      <c r="BP107" s="0" t="n">
        <f aca="false">IF($B$102=1,IF(OR(BS107&gt;=Settings!$B$5,Settings!$C$18&gt;0),MAX(0,MIN(1,(BS107/$C$102-(2*MAX(BL107,Settings!$C$18)-1))/2)),MIN(1,BS107/Settings!$B$5)),"")</f>
        <v>0.293103448275861</v>
      </c>
      <c r="BQ107" s="0" t="n">
        <f aca="false">IF(AND($B$102=1,COUNTIF(C107:BJ107,$C$102)&gt;0),1,0)</f>
        <v>0</v>
      </c>
      <c r="BR107" s="0" t="n">
        <f aca="false">IF(AND($B$102=1,COUNTIF(C107:BJ107,$D$102)&gt;0),1,0)</f>
        <v>0</v>
      </c>
      <c r="BS107" s="0" t="n">
        <f aca="false">N(IF(Polls!L17="",Polls!L37,Polls!L17))</f>
        <v>0.08</v>
      </c>
      <c r="BT107" s="0" t="str">
        <f aca="false">IF(OR(BS107&gt;=Settings!$B$5,Settings!$C$18&gt;0),"Next seat","Threshold")</f>
        <v>Next seat</v>
      </c>
    </row>
    <row r="108" customFormat="false" ht="15" hidden="false" customHeight="false" outlineLevel="0" collapsed="false">
      <c r="A108" s="0" t="s">
        <v>50</v>
      </c>
      <c r="B108" s="0" t="n">
        <f aca="false">IF(OR(BS108&gt;=Settings!$B$5,Settings!$C$19&gt;0),BS108,0)</f>
        <v>0.011</v>
      </c>
      <c r="C108" s="0" t="n">
        <f aca="false">$B108/C$1</f>
        <v>0.011</v>
      </c>
      <c r="D108" s="0" t="n">
        <f aca="false">$B108/D$1</f>
        <v>0.00366666666666667</v>
      </c>
      <c r="E108" s="0" t="n">
        <f aca="false">$B108/E$1</f>
        <v>0.0022</v>
      </c>
      <c r="F108" s="0" t="n">
        <f aca="false">$B108/F$1</f>
        <v>0.00157142857142857</v>
      </c>
      <c r="G108" s="0" t="n">
        <f aca="false">$B108/G$1</f>
        <v>0.00122222222222222</v>
      </c>
      <c r="H108" s="0" t="n">
        <f aca="false">$B108/H$1</f>
        <v>0.001</v>
      </c>
      <c r="I108" s="0" t="n">
        <f aca="false">$B108/I$1</f>
        <v>0.000846153846153846</v>
      </c>
      <c r="J108" s="0" t="n">
        <f aca="false">$B108/J$1</f>
        <v>0.000733333333333333</v>
      </c>
      <c r="K108" s="0" t="n">
        <f aca="false">$B108/K$1</f>
        <v>0.000647058823529412</v>
      </c>
      <c r="L108" s="0" t="n">
        <f aca="false">$B108/L$1</f>
        <v>0.000578947368421053</v>
      </c>
      <c r="M108" s="0" t="n">
        <f aca="false">$B108/M$1</f>
        <v>0.000523809523809524</v>
      </c>
      <c r="N108" s="0" t="n">
        <f aca="false">$B108/N$1</f>
        <v>0.000478260869565217</v>
      </c>
      <c r="O108" s="0" t="n">
        <f aca="false">$B108/O$1</f>
        <v>0.00044</v>
      </c>
      <c r="P108" s="0" t="n">
        <f aca="false">$B108/P$1</f>
        <v>0.000407407407407407</v>
      </c>
      <c r="Q108" s="0" t="n">
        <f aca="false">$B108/Q$1</f>
        <v>0.000379310344827586</v>
      </c>
      <c r="R108" s="0" t="n">
        <f aca="false">$B108/R$1</f>
        <v>0.000354838709677419</v>
      </c>
      <c r="S108" s="0" t="n">
        <f aca="false">$B108/S$1</f>
        <v>0.000333333333333333</v>
      </c>
      <c r="T108" s="0" t="n">
        <f aca="false">$B108/T$1</f>
        <v>0.000314285714285714</v>
      </c>
      <c r="U108" s="0" t="n">
        <f aca="false">$B108/U$1</f>
        <v>0.000297297297297297</v>
      </c>
      <c r="V108" s="0" t="n">
        <f aca="false">$B108/V$1</f>
        <v>0.000282051282051282</v>
      </c>
      <c r="W108" s="0" t="n">
        <f aca="false">$B108/W$1</f>
        <v>0.000268292682926829</v>
      </c>
      <c r="X108" s="0" t="n">
        <f aca="false">$B108/X$1</f>
        <v>0.000255813953488372</v>
      </c>
      <c r="Y108" s="0" t="n">
        <f aca="false">$B108/Y$1</f>
        <v>0.000244444444444444</v>
      </c>
      <c r="Z108" s="0" t="n">
        <f aca="false">$B108/Z$1</f>
        <v>0.000234042553191489</v>
      </c>
      <c r="AA108" s="0" t="n">
        <f aca="false">$B108/AA$1</f>
        <v>0.000224489795918367</v>
      </c>
      <c r="AB108" s="0" t="n">
        <f aca="false">$B108/AB$1</f>
        <v>0.000215686274509804</v>
      </c>
      <c r="AC108" s="0" t="n">
        <f aca="false">$B108/AC$1</f>
        <v>0.000207547169811321</v>
      </c>
      <c r="AD108" s="0" t="n">
        <f aca="false">$B108/AD$1</f>
        <v>0.0002</v>
      </c>
      <c r="AE108" s="0" t="n">
        <f aca="false">$B108/AE$1</f>
        <v>0.000192982456140351</v>
      </c>
      <c r="AF108" s="0" t="n">
        <f aca="false">$B108/AF$1</f>
        <v>0.000186440677966102</v>
      </c>
      <c r="AG108" s="0" t="n">
        <f aca="false">$B108/AG$1</f>
        <v>0.000180327868852459</v>
      </c>
      <c r="AH108" s="0" t="n">
        <f aca="false">$B108/AH$1</f>
        <v>0.000174603174603175</v>
      </c>
      <c r="AI108" s="0" t="n">
        <f aca="false">$B108/AI$1</f>
        <v>0.000169230769230769</v>
      </c>
      <c r="AJ108" s="0" t="n">
        <f aca="false">$B108/AJ$1</f>
        <v>0.000164179104477612</v>
      </c>
      <c r="AK108" s="0" t="n">
        <f aca="false">$B108/AK$1</f>
        <v>0.000159420289855072</v>
      </c>
      <c r="AL108" s="0" t="n">
        <f aca="false">$B108/AL$1</f>
        <v>0.000154929577464789</v>
      </c>
      <c r="AM108" s="0" t="n">
        <f aca="false">$B108/AM$1</f>
        <v>0.000150684931506849</v>
      </c>
      <c r="AN108" s="0" t="n">
        <f aca="false">$B108/AN$1</f>
        <v>0.000146666666666667</v>
      </c>
      <c r="AO108" s="0" t="n">
        <f aca="false">$B108/AO$1</f>
        <v>0.000142857142857143</v>
      </c>
      <c r="AP108" s="0" t="n">
        <f aca="false">$B108/AP$1</f>
        <v>0.000139240506329114</v>
      </c>
      <c r="AQ108" s="0" t="n">
        <f aca="false">$B108/AQ$1</f>
        <v>0.000135802469135802</v>
      </c>
      <c r="AR108" s="0" t="n">
        <f aca="false">$B108/AR$1</f>
        <v>0.000132530120481928</v>
      </c>
      <c r="AS108" s="0" t="n">
        <f aca="false">$B108/AS$1</f>
        <v>0.000129411764705882</v>
      </c>
      <c r="AT108" s="0" t="n">
        <f aca="false">$B108/AT$1</f>
        <v>0.000126436781609195</v>
      </c>
      <c r="AU108" s="0" t="n">
        <f aca="false">$B108/AU$1</f>
        <v>0.000123595505617978</v>
      </c>
      <c r="AV108" s="0" t="n">
        <f aca="false">$B108/AV$1</f>
        <v>0.000120879120879121</v>
      </c>
      <c r="AW108" s="0" t="n">
        <f aca="false">$B108/AW$1</f>
        <v>0.000118279569892473</v>
      </c>
      <c r="AX108" s="0" t="n">
        <f aca="false">$B108/AX$1</f>
        <v>0.000115789473684211</v>
      </c>
      <c r="AY108" s="0" t="n">
        <f aca="false">$B108/AY$1</f>
        <v>0.00011340206185567</v>
      </c>
      <c r="AZ108" s="0" t="n">
        <f aca="false">$B108/AZ$1</f>
        <v>0.000111111111111111</v>
      </c>
      <c r="BA108" s="0" t="n">
        <f aca="false">$B108/BA$1</f>
        <v>0.000108910891089109</v>
      </c>
      <c r="BB108" s="0" t="n">
        <f aca="false">$B108/BB$1</f>
        <v>0.000106796116504854</v>
      </c>
      <c r="BC108" s="0" t="n">
        <f aca="false">$B108/BC$1</f>
        <v>0.000104761904761905</v>
      </c>
      <c r="BD108" s="0" t="n">
        <f aca="false">$B108/BD$1</f>
        <v>0.000102803738317757</v>
      </c>
      <c r="BE108" s="0" t="n">
        <f aca="false">$B108/BE$1</f>
        <v>0.000100917431192661</v>
      </c>
      <c r="BF108" s="0" t="n">
        <f aca="false">$B108/BF$1</f>
        <v>9.90990990990991E-005</v>
      </c>
      <c r="BG108" s="0" t="n">
        <f aca="false">$B108/BG$1</f>
        <v>9.73451327433628E-005</v>
      </c>
      <c r="BH108" s="0" t="n">
        <f aca="false">$B108/BH$1</f>
        <v>9.56521739130435E-005</v>
      </c>
      <c r="BI108" s="0" t="n">
        <f aca="false">$B108/BI$1</f>
        <v>9.4017094017094E-005</v>
      </c>
      <c r="BJ108" s="0" t="n">
        <f aca="false">$B108/BJ$1</f>
        <v>9.2436974789916E-005</v>
      </c>
      <c r="BL108" s="0" t="n">
        <f aca="false">IF($B$102=1,COUNTIF(C108:BJ108,"&gt;="&amp;$C$102),0)</f>
        <v>1</v>
      </c>
      <c r="BM108" s="0" t="n">
        <f aca="false">IF($B$102=1,IF(OR(BS108&gt;=Settings!$B$5,Settings!$C$19&gt;0),MAX(BL108,Settings!$C$19),0),0)</f>
        <v>4</v>
      </c>
      <c r="BN108" s="0" t="n">
        <f aca="false">IF($B$102=1,IF(OR(BS108&gt;=Settings!$B$5,Settings!$C$19&gt;0),MAX(0,(2*MAX(BL108,Settings!$C$19)+1)*$C$102-BS108),MAX(0,Settings!$B$5-BS108)),"")</f>
        <v>0.0257605633802817</v>
      </c>
      <c r="BO108" s="0" t="str">
        <f aca="false">IF($B$102=1,IF(OR(BS108&gt;=Settings!$B$5,Settings!$C$19&gt;0),IF(BL108&lt;=Settings!$C$19,"Protected by electorates",IF(Settings!$C$19=0,MIN(BS108-(2*BL108-1)*$D$102,BS108-Settings!$B$5),BS108-(2*BL108-1)*$D$102)),""),"")</f>
        <v>Protected by electorates</v>
      </c>
      <c r="BP108" s="0" t="n">
        <f aca="false">IF($B$102=1,IF(OR(BS108&gt;=Settings!$B$5,Settings!$C$19&gt;0),MAX(0,MIN(1,(BS108/$C$102-(2*MAX(BL108,Settings!$C$19)-1))/2)),MIN(1,BS108/Settings!$B$5)),"")</f>
        <v>0</v>
      </c>
      <c r="BQ108" s="0" t="n">
        <f aca="false">IF(AND($B$102=1,COUNTIF(C108:BJ108,$C$102)&gt;0),1,0)</f>
        <v>0</v>
      </c>
      <c r="BR108" s="0" t="n">
        <f aca="false">IF(AND($B$102=1,COUNTIF(C108:BJ108,$D$102)&gt;0),1,0)</f>
        <v>0</v>
      </c>
      <c r="BS108" s="0" t="n">
        <f aca="false">N(IF(Polls!M17="",Polls!M37,Polls!M17))</f>
        <v>0.011</v>
      </c>
      <c r="BT108" s="0" t="str">
        <f aca="false">IF(OR(BS108&gt;=Settings!$B$5,Settings!$C$19&gt;0),"Next seat","Threshold")</f>
        <v>Next seat</v>
      </c>
    </row>
    <row r="109" customFormat="false" ht="15" hidden="false" customHeight="false" outlineLevel="0" collapsed="false">
      <c r="A109" s="0" t="s">
        <v>52</v>
      </c>
      <c r="B109" s="0" t="n">
        <f aca="false">IF(OR(BS109&gt;=Settings!$B$5,Settings!$C$20&gt;0),BS109,0)</f>
        <v>0.08</v>
      </c>
      <c r="C109" s="0" t="n">
        <f aca="false">$B109/C$1</f>
        <v>0.08</v>
      </c>
      <c r="D109" s="0" t="n">
        <f aca="false">$B109/D$1</f>
        <v>0.0266666666666667</v>
      </c>
      <c r="E109" s="0" t="n">
        <f aca="false">$B109/E$1</f>
        <v>0.016</v>
      </c>
      <c r="F109" s="0" t="n">
        <f aca="false">$B109/F$1</f>
        <v>0.0114285714285714</v>
      </c>
      <c r="G109" s="0" t="n">
        <f aca="false">$B109/G$1</f>
        <v>0.00888888888888889</v>
      </c>
      <c r="H109" s="0" t="n">
        <f aca="false">$B109/H$1</f>
        <v>0.00727272727272727</v>
      </c>
      <c r="I109" s="0" t="n">
        <f aca="false">$B109/I$1</f>
        <v>0.00615384615384615</v>
      </c>
      <c r="J109" s="0" t="n">
        <f aca="false">$B109/J$1</f>
        <v>0.00533333333333333</v>
      </c>
      <c r="K109" s="0" t="n">
        <f aca="false">$B109/K$1</f>
        <v>0.00470588235294118</v>
      </c>
      <c r="L109" s="0" t="n">
        <f aca="false">$B109/L$1</f>
        <v>0.00421052631578947</v>
      </c>
      <c r="M109" s="0" t="n">
        <f aca="false">$B109/M$1</f>
        <v>0.00380952380952381</v>
      </c>
      <c r="N109" s="0" t="n">
        <f aca="false">$B109/N$1</f>
        <v>0.00347826086956522</v>
      </c>
      <c r="O109" s="0" t="n">
        <f aca="false">$B109/O$1</f>
        <v>0.0032</v>
      </c>
      <c r="P109" s="0" t="n">
        <f aca="false">$B109/P$1</f>
        <v>0.00296296296296296</v>
      </c>
      <c r="Q109" s="0" t="n">
        <f aca="false">$B109/Q$1</f>
        <v>0.00275862068965517</v>
      </c>
      <c r="R109" s="0" t="n">
        <f aca="false">$B109/R$1</f>
        <v>0.00258064516129032</v>
      </c>
      <c r="S109" s="0" t="n">
        <f aca="false">$B109/S$1</f>
        <v>0.00242424242424242</v>
      </c>
      <c r="T109" s="0" t="n">
        <f aca="false">$B109/T$1</f>
        <v>0.00228571428571429</v>
      </c>
      <c r="U109" s="0" t="n">
        <f aca="false">$B109/U$1</f>
        <v>0.00216216216216216</v>
      </c>
      <c r="V109" s="0" t="n">
        <f aca="false">$B109/V$1</f>
        <v>0.00205128205128205</v>
      </c>
      <c r="W109" s="0" t="n">
        <f aca="false">$B109/W$1</f>
        <v>0.00195121951219512</v>
      </c>
      <c r="X109" s="0" t="n">
        <f aca="false">$B109/X$1</f>
        <v>0.00186046511627907</v>
      </c>
      <c r="Y109" s="0" t="n">
        <f aca="false">$B109/Y$1</f>
        <v>0.00177777777777778</v>
      </c>
      <c r="Z109" s="0" t="n">
        <f aca="false">$B109/Z$1</f>
        <v>0.00170212765957447</v>
      </c>
      <c r="AA109" s="0" t="n">
        <f aca="false">$B109/AA$1</f>
        <v>0.00163265306122449</v>
      </c>
      <c r="AB109" s="0" t="n">
        <f aca="false">$B109/AB$1</f>
        <v>0.00156862745098039</v>
      </c>
      <c r="AC109" s="0" t="n">
        <f aca="false">$B109/AC$1</f>
        <v>0.00150943396226415</v>
      </c>
      <c r="AD109" s="0" t="n">
        <f aca="false">$B109/AD$1</f>
        <v>0.00145454545454545</v>
      </c>
      <c r="AE109" s="0" t="n">
        <f aca="false">$B109/AE$1</f>
        <v>0.00140350877192982</v>
      </c>
      <c r="AF109" s="0" t="n">
        <f aca="false">$B109/AF$1</f>
        <v>0.00135593220338983</v>
      </c>
      <c r="AG109" s="0" t="n">
        <f aca="false">$B109/AG$1</f>
        <v>0.00131147540983607</v>
      </c>
      <c r="AH109" s="0" t="n">
        <f aca="false">$B109/AH$1</f>
        <v>0.00126984126984127</v>
      </c>
      <c r="AI109" s="0" t="n">
        <f aca="false">$B109/AI$1</f>
        <v>0.00123076923076923</v>
      </c>
      <c r="AJ109" s="0" t="n">
        <f aca="false">$B109/AJ$1</f>
        <v>0.00119402985074627</v>
      </c>
      <c r="AK109" s="0" t="n">
        <f aca="false">$B109/AK$1</f>
        <v>0.00115942028985507</v>
      </c>
      <c r="AL109" s="0" t="n">
        <f aca="false">$B109/AL$1</f>
        <v>0.00112676056338028</v>
      </c>
      <c r="AM109" s="0" t="n">
        <f aca="false">$B109/AM$1</f>
        <v>0.0010958904109589</v>
      </c>
      <c r="AN109" s="0" t="n">
        <f aca="false">$B109/AN$1</f>
        <v>0.00106666666666667</v>
      </c>
      <c r="AO109" s="0" t="n">
        <f aca="false">$B109/AO$1</f>
        <v>0.00103896103896104</v>
      </c>
      <c r="AP109" s="0" t="n">
        <f aca="false">$B109/AP$1</f>
        <v>0.0010126582278481</v>
      </c>
      <c r="AQ109" s="0" t="n">
        <f aca="false">$B109/AQ$1</f>
        <v>0.000987654320987654</v>
      </c>
      <c r="AR109" s="0" t="n">
        <f aca="false">$B109/AR$1</f>
        <v>0.000963855421686747</v>
      </c>
      <c r="AS109" s="0" t="n">
        <f aca="false">$B109/AS$1</f>
        <v>0.000941176470588235</v>
      </c>
      <c r="AT109" s="0" t="n">
        <f aca="false">$B109/AT$1</f>
        <v>0.000919540229885057</v>
      </c>
      <c r="AU109" s="0" t="n">
        <f aca="false">$B109/AU$1</f>
        <v>0.000898876404494382</v>
      </c>
      <c r="AV109" s="0" t="n">
        <f aca="false">$B109/AV$1</f>
        <v>0.000879120879120879</v>
      </c>
      <c r="AW109" s="0" t="n">
        <f aca="false">$B109/AW$1</f>
        <v>0.000860215053763441</v>
      </c>
      <c r="AX109" s="0" t="n">
        <f aca="false">$B109/AX$1</f>
        <v>0.000842105263157895</v>
      </c>
      <c r="AY109" s="0" t="n">
        <f aca="false">$B109/AY$1</f>
        <v>0.000824742268041237</v>
      </c>
      <c r="AZ109" s="0" t="n">
        <f aca="false">$B109/AZ$1</f>
        <v>0.000808080808080808</v>
      </c>
      <c r="BA109" s="0" t="n">
        <f aca="false">$B109/BA$1</f>
        <v>0.000792079207920792</v>
      </c>
      <c r="BB109" s="0" t="n">
        <f aca="false">$B109/BB$1</f>
        <v>0.000776699029126214</v>
      </c>
      <c r="BC109" s="0" t="n">
        <f aca="false">$B109/BC$1</f>
        <v>0.000761904761904762</v>
      </c>
      <c r="BD109" s="0" t="n">
        <f aca="false">$B109/BD$1</f>
        <v>0.000747663551401869</v>
      </c>
      <c r="BE109" s="0" t="n">
        <f aca="false">$B109/BE$1</f>
        <v>0.00073394495412844</v>
      </c>
      <c r="BF109" s="0" t="n">
        <f aca="false">$B109/BF$1</f>
        <v>0.000720720720720721</v>
      </c>
      <c r="BG109" s="0" t="n">
        <f aca="false">$B109/BG$1</f>
        <v>0.000707964601769912</v>
      </c>
      <c r="BH109" s="0" t="n">
        <f aca="false">$B109/BH$1</f>
        <v>0.000695652173913044</v>
      </c>
      <c r="BI109" s="0" t="n">
        <f aca="false">$B109/BI$1</f>
        <v>0.000683760683760684</v>
      </c>
      <c r="BJ109" s="0" t="n">
        <f aca="false">$B109/BJ$1</f>
        <v>0.000672268907563025</v>
      </c>
      <c r="BL109" s="0" t="n">
        <f aca="false">IF($B$102=1,COUNTIF(C109:BJ109,"&gt;="&amp;$C$102),0)</f>
        <v>10</v>
      </c>
      <c r="BM109" s="0" t="n">
        <f aca="false">IF($B$102=1,IF(OR(BS109&gt;=Settings!$B$5,Settings!$C$20&gt;0),MAX(BL109,Settings!$C$20),0),0)</f>
        <v>10</v>
      </c>
      <c r="BN109" s="0" t="n">
        <f aca="false">IF($B$102=1,IF(OR(BS109&gt;=Settings!$B$5,Settings!$C$20&gt;0),MAX(0,(2*MAX(BL109,Settings!$C$20)+1)*$C$102-BS109),MAX(0,Settings!$B$5-BS109)),"")</f>
        <v>0.00577464788732394</v>
      </c>
      <c r="BO109" s="0" t="n">
        <f aca="false">IF($B$102=1,IF(OR(BS109&gt;=Settings!$B$5,Settings!$C$20&gt;0),IF(BL109&lt;=Settings!$C$20,"Protected by electorates",IF(Settings!$C$20=0,MIN(BS109-(2*BL109-1)*$D$102,BS109-Settings!$B$5),BS109-(2*BL109-1)*$D$102)),""),"")</f>
        <v>0.004</v>
      </c>
      <c r="BP109" s="0" t="n">
        <f aca="false">IF($B$102=1,IF(OR(BS109&gt;=Settings!$B$5,Settings!$C$20&gt;0),MAX(0,MIN(1,(BS109/$C$102-(2*MAX(BL109,Settings!$C$20)-1))/2)),MIN(1,BS109/Settings!$B$5)),"")</f>
        <v>0.293103448275861</v>
      </c>
      <c r="BQ109" s="0" t="n">
        <f aca="false">IF(AND($B$102=1,COUNTIF(C109:BJ109,$C$102)&gt;0),1,0)</f>
        <v>0</v>
      </c>
      <c r="BR109" s="0" t="n">
        <f aca="false">IF(AND($B$102=1,COUNTIF(C109:BJ109,$D$102)&gt;0),1,0)</f>
        <v>0</v>
      </c>
      <c r="BS109" s="0" t="n">
        <f aca="false">N(IF(Polls!N17="",Polls!N37,Polls!N17))</f>
        <v>0.08</v>
      </c>
      <c r="BT109" s="0" t="str">
        <f aca="false">IF(OR(BS109&gt;=Settings!$B$5,Settings!$C$20&gt;0),"Next seat","Threshold")</f>
        <v>Next seat</v>
      </c>
    </row>
    <row r="111" customFormat="false" ht="15" hidden="false" customHeight="false" outlineLevel="0" collapsed="false">
      <c r="A111" s="41" t="str">
        <f aca="false">Polls!A18</f>
        <v>Talbot Mills Aug</v>
      </c>
      <c r="B111" s="17" t="n">
        <f aca="false">IF(SUM(BS112:BS118)&gt;0,1,0)</f>
        <v>1</v>
      </c>
      <c r="C111" s="17" t="n">
        <f aca="false">IF(B111=1,LARGE(C112:BJ118,Settings!$B$4),0)</f>
        <v>0.00419354838709677</v>
      </c>
      <c r="D111" s="17" t="n">
        <f aca="false">IF(B111=1,LARGE(C112:BJ118,Settings!$B$4+1),0)</f>
        <v>0.00411764705882353</v>
      </c>
      <c r="E111" s="0" t="str">
        <f aca="false">IF(B111=1,IFERROR(INDEX(A112:A118,MATCH(1,BQ112:BQ118,0)),""),"")</f>
        <v>NZF</v>
      </c>
      <c r="F111" s="0" t="str">
        <f aca="false">IF(B111=1,IFERROR(INDEX(A112:A118,MATCH(1,BR112:BR118,0)),""),"")</f>
        <v>ACT</v>
      </c>
      <c r="G111" s="17" t="n">
        <f aca="false">IF(B111=1,SUM(BM112:BM118)+Settings!$B$10,"")</f>
        <v>120</v>
      </c>
    </row>
    <row r="112" customFormat="false" ht="15" hidden="false" customHeight="false" outlineLevel="0" collapsed="false">
      <c r="A112" s="0" t="s">
        <v>41</v>
      </c>
      <c r="B112" s="0" t="n">
        <f aca="false">IF(OR(BS112&gt;=Settings!$B$5,Settings!$C$14&gt;0),BS112,0)</f>
        <v>0.29</v>
      </c>
      <c r="C112" s="0" t="n">
        <f aca="false">$B112/C$1</f>
        <v>0.29</v>
      </c>
      <c r="D112" s="0" t="n">
        <f aca="false">$B112/D$1</f>
        <v>0.0966666666666667</v>
      </c>
      <c r="E112" s="0" t="n">
        <f aca="false">$B112/E$1</f>
        <v>0.058</v>
      </c>
      <c r="F112" s="0" t="n">
        <f aca="false">$B112/F$1</f>
        <v>0.0414285714285714</v>
      </c>
      <c r="G112" s="0" t="n">
        <f aca="false">$B112/G$1</f>
        <v>0.0322222222222222</v>
      </c>
      <c r="H112" s="0" t="n">
        <f aca="false">$B112/H$1</f>
        <v>0.0263636363636364</v>
      </c>
      <c r="I112" s="0" t="n">
        <f aca="false">$B112/I$1</f>
        <v>0.0223076923076923</v>
      </c>
      <c r="J112" s="0" t="n">
        <f aca="false">$B112/J$1</f>
        <v>0.0193333333333333</v>
      </c>
      <c r="K112" s="0" t="n">
        <f aca="false">$B112/K$1</f>
        <v>0.0170588235294118</v>
      </c>
      <c r="L112" s="0" t="n">
        <f aca="false">$B112/L$1</f>
        <v>0.0152631578947368</v>
      </c>
      <c r="M112" s="0" t="n">
        <f aca="false">$B112/M$1</f>
        <v>0.0138095238095238</v>
      </c>
      <c r="N112" s="0" t="n">
        <f aca="false">$B112/N$1</f>
        <v>0.0126086956521739</v>
      </c>
      <c r="O112" s="0" t="n">
        <f aca="false">$B112/O$1</f>
        <v>0.0116</v>
      </c>
      <c r="P112" s="0" t="n">
        <f aca="false">$B112/P$1</f>
        <v>0.0107407407407407</v>
      </c>
      <c r="Q112" s="0" t="n">
        <f aca="false">$B112/Q$1</f>
        <v>0.01</v>
      </c>
      <c r="R112" s="0" t="n">
        <f aca="false">$B112/R$1</f>
        <v>0.00935483870967742</v>
      </c>
      <c r="S112" s="0" t="n">
        <f aca="false">$B112/S$1</f>
        <v>0.00878787878787879</v>
      </c>
      <c r="T112" s="0" t="n">
        <f aca="false">$B112/T$1</f>
        <v>0.00828571428571429</v>
      </c>
      <c r="U112" s="0" t="n">
        <f aca="false">$B112/U$1</f>
        <v>0.00783783783783784</v>
      </c>
      <c r="V112" s="0" t="n">
        <f aca="false">$B112/V$1</f>
        <v>0.00743589743589744</v>
      </c>
      <c r="W112" s="0" t="n">
        <f aca="false">$B112/W$1</f>
        <v>0.00707317073170732</v>
      </c>
      <c r="X112" s="0" t="n">
        <f aca="false">$B112/X$1</f>
        <v>0.00674418604651163</v>
      </c>
      <c r="Y112" s="0" t="n">
        <f aca="false">$B112/Y$1</f>
        <v>0.00644444444444444</v>
      </c>
      <c r="Z112" s="0" t="n">
        <f aca="false">$B112/Z$1</f>
        <v>0.00617021276595745</v>
      </c>
      <c r="AA112" s="0" t="n">
        <f aca="false">$B112/AA$1</f>
        <v>0.00591836734693878</v>
      </c>
      <c r="AB112" s="0" t="n">
        <f aca="false">$B112/AB$1</f>
        <v>0.00568627450980392</v>
      </c>
      <c r="AC112" s="0" t="n">
        <f aca="false">$B112/AC$1</f>
        <v>0.00547169811320755</v>
      </c>
      <c r="AD112" s="0" t="n">
        <f aca="false">$B112/AD$1</f>
        <v>0.00527272727272727</v>
      </c>
      <c r="AE112" s="0" t="n">
        <f aca="false">$B112/AE$1</f>
        <v>0.00508771929824561</v>
      </c>
      <c r="AF112" s="0" t="n">
        <f aca="false">$B112/AF$1</f>
        <v>0.00491525423728814</v>
      </c>
      <c r="AG112" s="0" t="n">
        <f aca="false">$B112/AG$1</f>
        <v>0.00475409836065574</v>
      </c>
      <c r="AH112" s="0" t="n">
        <f aca="false">$B112/AH$1</f>
        <v>0.0046031746031746</v>
      </c>
      <c r="AI112" s="0" t="n">
        <f aca="false">$B112/AI$1</f>
        <v>0.00446153846153846</v>
      </c>
      <c r="AJ112" s="0" t="n">
        <f aca="false">$B112/AJ$1</f>
        <v>0.00432835820895522</v>
      </c>
      <c r="AK112" s="0" t="n">
        <f aca="false">$B112/AK$1</f>
        <v>0.00420289855072464</v>
      </c>
      <c r="AL112" s="0" t="n">
        <f aca="false">$B112/AL$1</f>
        <v>0.00408450704225352</v>
      </c>
      <c r="AM112" s="0" t="n">
        <f aca="false">$B112/AM$1</f>
        <v>0.00397260273972603</v>
      </c>
      <c r="AN112" s="0" t="n">
        <f aca="false">$B112/AN$1</f>
        <v>0.00386666666666667</v>
      </c>
      <c r="AO112" s="0" t="n">
        <f aca="false">$B112/AO$1</f>
        <v>0.00376623376623377</v>
      </c>
      <c r="AP112" s="0" t="n">
        <f aca="false">$B112/AP$1</f>
        <v>0.00367088607594937</v>
      </c>
      <c r="AQ112" s="0" t="n">
        <f aca="false">$B112/AQ$1</f>
        <v>0.00358024691358025</v>
      </c>
      <c r="AR112" s="0" t="n">
        <f aca="false">$B112/AR$1</f>
        <v>0.00349397590361446</v>
      </c>
      <c r="AS112" s="0" t="n">
        <f aca="false">$B112/AS$1</f>
        <v>0.00341176470588235</v>
      </c>
      <c r="AT112" s="0" t="n">
        <f aca="false">$B112/AT$1</f>
        <v>0.00333333333333333</v>
      </c>
      <c r="AU112" s="0" t="n">
        <f aca="false">$B112/AU$1</f>
        <v>0.00325842696629213</v>
      </c>
      <c r="AV112" s="0" t="n">
        <f aca="false">$B112/AV$1</f>
        <v>0.00318681318681319</v>
      </c>
      <c r="AW112" s="0" t="n">
        <f aca="false">$B112/AW$1</f>
        <v>0.00311827956989247</v>
      </c>
      <c r="AX112" s="0" t="n">
        <f aca="false">$B112/AX$1</f>
        <v>0.00305263157894737</v>
      </c>
      <c r="AY112" s="0" t="n">
        <f aca="false">$B112/AY$1</f>
        <v>0.00298969072164948</v>
      </c>
      <c r="AZ112" s="0" t="n">
        <f aca="false">$B112/AZ$1</f>
        <v>0.00292929292929293</v>
      </c>
      <c r="BA112" s="0" t="n">
        <f aca="false">$B112/BA$1</f>
        <v>0.00287128712871287</v>
      </c>
      <c r="BB112" s="0" t="n">
        <f aca="false">$B112/BB$1</f>
        <v>0.00281553398058252</v>
      </c>
      <c r="BC112" s="0" t="n">
        <f aca="false">$B112/BC$1</f>
        <v>0.00276190476190476</v>
      </c>
      <c r="BD112" s="0" t="n">
        <f aca="false">$B112/BD$1</f>
        <v>0.00271028037383178</v>
      </c>
      <c r="BE112" s="0" t="n">
        <f aca="false">$B112/BE$1</f>
        <v>0.0026605504587156</v>
      </c>
      <c r="BF112" s="0" t="n">
        <f aca="false">$B112/BF$1</f>
        <v>0.00261261261261261</v>
      </c>
      <c r="BG112" s="0" t="n">
        <f aca="false">$B112/BG$1</f>
        <v>0.00256637168141593</v>
      </c>
      <c r="BH112" s="0" t="n">
        <f aca="false">$B112/BH$1</f>
        <v>0.00252173913043478</v>
      </c>
      <c r="BI112" s="0" t="n">
        <f aca="false">$B112/BI$1</f>
        <v>0.00247863247863248</v>
      </c>
      <c r="BJ112" s="0" t="n">
        <f aca="false">$B112/BJ$1</f>
        <v>0.00243697478991597</v>
      </c>
      <c r="BL112" s="0" t="n">
        <f aca="false">IF($B$111=1,COUNTIF(C112:BJ112,"&gt;="&amp;$C$111),0)</f>
        <v>35</v>
      </c>
      <c r="BM112" s="0" t="n">
        <f aca="false">IF($B$111=1,IF(OR(BS112&gt;=Settings!$B$5,Settings!$C$14&gt;0),MAX(BL112,Settings!$C$14),0),0)</f>
        <v>35</v>
      </c>
      <c r="BN112" s="0" t="n">
        <f aca="false">IF($B$111=1,IF(OR(BS112&gt;=Settings!$B$5,Settings!$C$14&gt;0),MAX(0,(2*MAX(BL112,Settings!$C$14)+1)*$C$111-BS112),MAX(0,Settings!$B$5-BS112)),"")</f>
        <v>0.00774193548387098</v>
      </c>
      <c r="BO112" s="0" t="n">
        <f aca="false">IF($B$111=1,IF(OR(BS112&gt;=Settings!$B$5,Settings!$C$14&gt;0),IF(BL112&lt;=Settings!$C$14,"Protected by electorates",IF(Settings!$C$14=0,MIN(BS112-(2*BL112-1)*$D$111,BS112-Settings!$B$5),BS112-(2*BL112-1)*$D$111)),""),"")</f>
        <v>0.00588235294117645</v>
      </c>
      <c r="BP112" s="0" t="n">
        <f aca="false">IF($B$111=1,IF(OR(BS112&gt;=Settings!$B$5,Settings!$C$14&gt;0),MAX(0,MIN(1,(BS112/$C$111-(2*MAX(BL112,Settings!$C$14)-1))/2)),MIN(1,BS112/Settings!$B$5)),"")</f>
        <v>0.0769230769230731</v>
      </c>
      <c r="BQ112" s="0" t="n">
        <f aca="false">IF(AND($B$111=1,COUNTIF(C112:BJ112,$C$111)&gt;0),1,0)</f>
        <v>0</v>
      </c>
      <c r="BR112" s="0" t="n">
        <f aca="false">IF(AND($B$111=1,COUNTIF(C112:BJ112,$D$111)&gt;0),1,0)</f>
        <v>0</v>
      </c>
      <c r="BS112" s="0" t="n">
        <f aca="false">N(IF(Polls!H18="",Polls!H37,Polls!H18))</f>
        <v>0.29</v>
      </c>
      <c r="BT112" s="0" t="str">
        <f aca="false">IF(OR(BS112&gt;=Settings!$B$5,Settings!$C$14&gt;0),"Next seat","Threshold")</f>
        <v>Next seat</v>
      </c>
    </row>
    <row r="113" customFormat="false" ht="15" hidden="false" customHeight="false" outlineLevel="0" collapsed="false">
      <c r="A113" s="0" t="s">
        <v>43</v>
      </c>
      <c r="B113" s="0" t="n">
        <f aca="false">IF(OR(BS113&gt;=Settings!$B$5,Settings!$C$15&gt;0),BS113,0)</f>
        <v>0.34</v>
      </c>
      <c r="C113" s="0" t="n">
        <f aca="false">$B113/C$1</f>
        <v>0.34</v>
      </c>
      <c r="D113" s="0" t="n">
        <f aca="false">$B113/D$1</f>
        <v>0.113333333333333</v>
      </c>
      <c r="E113" s="0" t="n">
        <f aca="false">$B113/E$1</f>
        <v>0.068</v>
      </c>
      <c r="F113" s="0" t="n">
        <f aca="false">$B113/F$1</f>
        <v>0.0485714285714286</v>
      </c>
      <c r="G113" s="0" t="n">
        <f aca="false">$B113/G$1</f>
        <v>0.0377777777777778</v>
      </c>
      <c r="H113" s="0" t="n">
        <f aca="false">$B113/H$1</f>
        <v>0.0309090909090909</v>
      </c>
      <c r="I113" s="0" t="n">
        <f aca="false">$B113/I$1</f>
        <v>0.0261538461538462</v>
      </c>
      <c r="J113" s="0" t="n">
        <f aca="false">$B113/J$1</f>
        <v>0.0226666666666667</v>
      </c>
      <c r="K113" s="0" t="n">
        <f aca="false">$B113/K$1</f>
        <v>0.02</v>
      </c>
      <c r="L113" s="0" t="n">
        <f aca="false">$B113/L$1</f>
        <v>0.0178947368421053</v>
      </c>
      <c r="M113" s="0" t="n">
        <f aca="false">$B113/M$1</f>
        <v>0.0161904761904762</v>
      </c>
      <c r="N113" s="0" t="n">
        <f aca="false">$B113/N$1</f>
        <v>0.0147826086956522</v>
      </c>
      <c r="O113" s="0" t="n">
        <f aca="false">$B113/O$1</f>
        <v>0.0136</v>
      </c>
      <c r="P113" s="0" t="n">
        <f aca="false">$B113/P$1</f>
        <v>0.0125925925925926</v>
      </c>
      <c r="Q113" s="0" t="n">
        <f aca="false">$B113/Q$1</f>
        <v>0.0117241379310345</v>
      </c>
      <c r="R113" s="0" t="n">
        <f aca="false">$B113/R$1</f>
        <v>0.0109677419354839</v>
      </c>
      <c r="S113" s="0" t="n">
        <f aca="false">$B113/S$1</f>
        <v>0.0103030303030303</v>
      </c>
      <c r="T113" s="0" t="n">
        <f aca="false">$B113/T$1</f>
        <v>0.00971428571428572</v>
      </c>
      <c r="U113" s="0" t="n">
        <f aca="false">$B113/U$1</f>
        <v>0.00918918918918919</v>
      </c>
      <c r="V113" s="0" t="n">
        <f aca="false">$B113/V$1</f>
        <v>0.00871794871794872</v>
      </c>
      <c r="W113" s="0" t="n">
        <f aca="false">$B113/W$1</f>
        <v>0.00829268292682927</v>
      </c>
      <c r="X113" s="0" t="n">
        <f aca="false">$B113/X$1</f>
        <v>0.00790697674418605</v>
      </c>
      <c r="Y113" s="0" t="n">
        <f aca="false">$B113/Y$1</f>
        <v>0.00755555555555556</v>
      </c>
      <c r="Z113" s="0" t="n">
        <f aca="false">$B113/Z$1</f>
        <v>0.00723404255319149</v>
      </c>
      <c r="AA113" s="0" t="n">
        <f aca="false">$B113/AA$1</f>
        <v>0.00693877551020408</v>
      </c>
      <c r="AB113" s="0" t="n">
        <f aca="false">$B113/AB$1</f>
        <v>0.00666666666666667</v>
      </c>
      <c r="AC113" s="0" t="n">
        <f aca="false">$B113/AC$1</f>
        <v>0.00641509433962264</v>
      </c>
      <c r="AD113" s="0" t="n">
        <f aca="false">$B113/AD$1</f>
        <v>0.00618181818181818</v>
      </c>
      <c r="AE113" s="0" t="n">
        <f aca="false">$B113/AE$1</f>
        <v>0.00596491228070175</v>
      </c>
      <c r="AF113" s="0" t="n">
        <f aca="false">$B113/AF$1</f>
        <v>0.00576271186440678</v>
      </c>
      <c r="AG113" s="0" t="n">
        <f aca="false">$B113/AG$1</f>
        <v>0.00557377049180328</v>
      </c>
      <c r="AH113" s="0" t="n">
        <f aca="false">$B113/AH$1</f>
        <v>0.0053968253968254</v>
      </c>
      <c r="AI113" s="0" t="n">
        <f aca="false">$B113/AI$1</f>
        <v>0.00523076923076923</v>
      </c>
      <c r="AJ113" s="0" t="n">
        <f aca="false">$B113/AJ$1</f>
        <v>0.00507462686567164</v>
      </c>
      <c r="AK113" s="0" t="n">
        <f aca="false">$B113/AK$1</f>
        <v>0.00492753623188406</v>
      </c>
      <c r="AL113" s="0" t="n">
        <f aca="false">$B113/AL$1</f>
        <v>0.0047887323943662</v>
      </c>
      <c r="AM113" s="0" t="n">
        <f aca="false">$B113/AM$1</f>
        <v>0.00465753424657534</v>
      </c>
      <c r="AN113" s="0" t="n">
        <f aca="false">$B113/AN$1</f>
        <v>0.00453333333333333</v>
      </c>
      <c r="AO113" s="0" t="n">
        <f aca="false">$B113/AO$1</f>
        <v>0.00441558441558442</v>
      </c>
      <c r="AP113" s="0" t="n">
        <f aca="false">$B113/AP$1</f>
        <v>0.00430379746835443</v>
      </c>
      <c r="AQ113" s="0" t="n">
        <f aca="false">$B113/AQ$1</f>
        <v>0.00419753086419753</v>
      </c>
      <c r="AR113" s="0" t="n">
        <f aca="false">$B113/AR$1</f>
        <v>0.00409638554216868</v>
      </c>
      <c r="AS113" s="0" t="n">
        <f aca="false">$B113/AS$1</f>
        <v>0.004</v>
      </c>
      <c r="AT113" s="0" t="n">
        <f aca="false">$B113/AT$1</f>
        <v>0.0039080459770115</v>
      </c>
      <c r="AU113" s="0" t="n">
        <f aca="false">$B113/AU$1</f>
        <v>0.00382022471910112</v>
      </c>
      <c r="AV113" s="0" t="n">
        <f aca="false">$B113/AV$1</f>
        <v>0.00373626373626374</v>
      </c>
      <c r="AW113" s="0" t="n">
        <f aca="false">$B113/AW$1</f>
        <v>0.00365591397849462</v>
      </c>
      <c r="AX113" s="0" t="n">
        <f aca="false">$B113/AX$1</f>
        <v>0.00357894736842105</v>
      </c>
      <c r="AY113" s="0" t="n">
        <f aca="false">$B113/AY$1</f>
        <v>0.00350515463917526</v>
      </c>
      <c r="AZ113" s="0" t="n">
        <f aca="false">$B113/AZ$1</f>
        <v>0.00343434343434343</v>
      </c>
      <c r="BA113" s="0" t="n">
        <f aca="false">$B113/BA$1</f>
        <v>0.00336633663366337</v>
      </c>
      <c r="BB113" s="0" t="n">
        <f aca="false">$B113/BB$1</f>
        <v>0.00330097087378641</v>
      </c>
      <c r="BC113" s="0" t="n">
        <f aca="false">$B113/BC$1</f>
        <v>0.00323809523809524</v>
      </c>
      <c r="BD113" s="0" t="n">
        <f aca="false">$B113/BD$1</f>
        <v>0.00317757009345794</v>
      </c>
      <c r="BE113" s="0" t="n">
        <f aca="false">$B113/BE$1</f>
        <v>0.00311926605504587</v>
      </c>
      <c r="BF113" s="0" t="n">
        <f aca="false">$B113/BF$1</f>
        <v>0.00306306306306306</v>
      </c>
      <c r="BG113" s="0" t="n">
        <f aca="false">$B113/BG$1</f>
        <v>0.00300884955752212</v>
      </c>
      <c r="BH113" s="0" t="n">
        <f aca="false">$B113/BH$1</f>
        <v>0.00295652173913044</v>
      </c>
      <c r="BI113" s="0" t="n">
        <f aca="false">$B113/BI$1</f>
        <v>0.00290598290598291</v>
      </c>
      <c r="BJ113" s="0" t="n">
        <f aca="false">$B113/BJ$1</f>
        <v>0.00285714285714286</v>
      </c>
      <c r="BL113" s="0" t="n">
        <f aca="false">IF($B$111=1,COUNTIF(C113:BJ113,"&gt;="&amp;$C$111),0)</f>
        <v>41</v>
      </c>
      <c r="BM113" s="0" t="n">
        <f aca="false">IF($B$111=1,IF(OR(BS113&gt;=Settings!$B$5,Settings!$C$15&gt;0),MAX(BL113,Settings!$C$15),0),0)</f>
        <v>41</v>
      </c>
      <c r="BN113" s="0" t="n">
        <f aca="false">IF($B$111=1,IF(OR(BS113&gt;=Settings!$B$5,Settings!$C$15&gt;0),MAX(0,(2*MAX(BL113,Settings!$C$15)+1)*$C$111-BS113),MAX(0,Settings!$B$5-BS113)),"")</f>
        <v>0.0080645161290322</v>
      </c>
      <c r="BO113" s="0" t="n">
        <f aca="false">IF($B$111=1,IF(OR(BS113&gt;=Settings!$B$5,Settings!$C$15&gt;0),IF(BL113&lt;=Settings!$C$15,"Protected by electorates",IF(Settings!$C$15=0,MIN(BS113-(2*BL113-1)*$D$111,BS113-Settings!$B$5),BS113-(2*BL113-1)*$D$111)),""),"")</f>
        <v>0.00647058823529412</v>
      </c>
      <c r="BP113" s="0" t="n">
        <f aca="false">IF($B$111=1,IF(OR(BS113&gt;=Settings!$B$5,Settings!$C$15&gt;0),MAX(0,MIN(1,(BS113/$C$111-(2*MAX(BL113,Settings!$C$15)-1))/2)),MIN(1,BS113/Settings!$B$5)),"")</f>
        <v>0.0384615384615401</v>
      </c>
      <c r="BQ113" s="0" t="n">
        <f aca="false">IF(AND($B$111=1,COUNTIF(C113:BJ113,$C$111)&gt;0),1,0)</f>
        <v>0</v>
      </c>
      <c r="BR113" s="0" t="n">
        <f aca="false">IF(AND($B$111=1,COUNTIF(C113:BJ113,$D$111)&gt;0),1,0)</f>
        <v>0</v>
      </c>
      <c r="BS113" s="0" t="n">
        <f aca="false">N(IF(Polls!I18="",Polls!I37,Polls!I18))</f>
        <v>0.34</v>
      </c>
      <c r="BT113" s="0" t="str">
        <f aca="false">IF(OR(BS113&gt;=Settings!$B$5,Settings!$C$15&gt;0),"Next seat","Threshold")</f>
        <v>Next seat</v>
      </c>
    </row>
    <row r="114" customFormat="false" ht="15" hidden="false" customHeight="false" outlineLevel="0" collapsed="false">
      <c r="A114" s="0" t="s">
        <v>45</v>
      </c>
      <c r="B114" s="0" t="n">
        <f aca="false">IF(OR(BS114&gt;=Settings!$B$5,Settings!$C$16&gt;0),BS114,0)</f>
        <v>0.08</v>
      </c>
      <c r="C114" s="0" t="n">
        <f aca="false">$B114/C$1</f>
        <v>0.08</v>
      </c>
      <c r="D114" s="0" t="n">
        <f aca="false">$B114/D$1</f>
        <v>0.0266666666666667</v>
      </c>
      <c r="E114" s="0" t="n">
        <f aca="false">$B114/E$1</f>
        <v>0.016</v>
      </c>
      <c r="F114" s="0" t="n">
        <f aca="false">$B114/F$1</f>
        <v>0.0114285714285714</v>
      </c>
      <c r="G114" s="0" t="n">
        <f aca="false">$B114/G$1</f>
        <v>0.00888888888888889</v>
      </c>
      <c r="H114" s="0" t="n">
        <f aca="false">$B114/H$1</f>
        <v>0.00727272727272727</v>
      </c>
      <c r="I114" s="0" t="n">
        <f aca="false">$B114/I$1</f>
        <v>0.00615384615384615</v>
      </c>
      <c r="J114" s="0" t="n">
        <f aca="false">$B114/J$1</f>
        <v>0.00533333333333333</v>
      </c>
      <c r="K114" s="0" t="n">
        <f aca="false">$B114/K$1</f>
        <v>0.00470588235294118</v>
      </c>
      <c r="L114" s="0" t="n">
        <f aca="false">$B114/L$1</f>
        <v>0.00421052631578947</v>
      </c>
      <c r="M114" s="0" t="n">
        <f aca="false">$B114/M$1</f>
        <v>0.00380952380952381</v>
      </c>
      <c r="N114" s="0" t="n">
        <f aca="false">$B114/N$1</f>
        <v>0.00347826086956522</v>
      </c>
      <c r="O114" s="0" t="n">
        <f aca="false">$B114/O$1</f>
        <v>0.0032</v>
      </c>
      <c r="P114" s="0" t="n">
        <f aca="false">$B114/P$1</f>
        <v>0.00296296296296296</v>
      </c>
      <c r="Q114" s="0" t="n">
        <f aca="false">$B114/Q$1</f>
        <v>0.00275862068965517</v>
      </c>
      <c r="R114" s="0" t="n">
        <f aca="false">$B114/R$1</f>
        <v>0.00258064516129032</v>
      </c>
      <c r="S114" s="0" t="n">
        <f aca="false">$B114/S$1</f>
        <v>0.00242424242424242</v>
      </c>
      <c r="T114" s="0" t="n">
        <f aca="false">$B114/T$1</f>
        <v>0.00228571428571429</v>
      </c>
      <c r="U114" s="0" t="n">
        <f aca="false">$B114/U$1</f>
        <v>0.00216216216216216</v>
      </c>
      <c r="V114" s="0" t="n">
        <f aca="false">$B114/V$1</f>
        <v>0.00205128205128205</v>
      </c>
      <c r="W114" s="0" t="n">
        <f aca="false">$B114/W$1</f>
        <v>0.00195121951219512</v>
      </c>
      <c r="X114" s="0" t="n">
        <f aca="false">$B114/X$1</f>
        <v>0.00186046511627907</v>
      </c>
      <c r="Y114" s="0" t="n">
        <f aca="false">$B114/Y$1</f>
        <v>0.00177777777777778</v>
      </c>
      <c r="Z114" s="0" t="n">
        <f aca="false">$B114/Z$1</f>
        <v>0.00170212765957447</v>
      </c>
      <c r="AA114" s="0" t="n">
        <f aca="false">$B114/AA$1</f>
        <v>0.00163265306122449</v>
      </c>
      <c r="AB114" s="0" t="n">
        <f aca="false">$B114/AB$1</f>
        <v>0.00156862745098039</v>
      </c>
      <c r="AC114" s="0" t="n">
        <f aca="false">$B114/AC$1</f>
        <v>0.00150943396226415</v>
      </c>
      <c r="AD114" s="0" t="n">
        <f aca="false">$B114/AD$1</f>
        <v>0.00145454545454545</v>
      </c>
      <c r="AE114" s="0" t="n">
        <f aca="false">$B114/AE$1</f>
        <v>0.00140350877192982</v>
      </c>
      <c r="AF114" s="0" t="n">
        <f aca="false">$B114/AF$1</f>
        <v>0.00135593220338983</v>
      </c>
      <c r="AG114" s="0" t="n">
        <f aca="false">$B114/AG$1</f>
        <v>0.00131147540983607</v>
      </c>
      <c r="AH114" s="0" t="n">
        <f aca="false">$B114/AH$1</f>
        <v>0.00126984126984127</v>
      </c>
      <c r="AI114" s="0" t="n">
        <f aca="false">$B114/AI$1</f>
        <v>0.00123076923076923</v>
      </c>
      <c r="AJ114" s="0" t="n">
        <f aca="false">$B114/AJ$1</f>
        <v>0.00119402985074627</v>
      </c>
      <c r="AK114" s="0" t="n">
        <f aca="false">$B114/AK$1</f>
        <v>0.00115942028985507</v>
      </c>
      <c r="AL114" s="0" t="n">
        <f aca="false">$B114/AL$1</f>
        <v>0.00112676056338028</v>
      </c>
      <c r="AM114" s="0" t="n">
        <f aca="false">$B114/AM$1</f>
        <v>0.0010958904109589</v>
      </c>
      <c r="AN114" s="0" t="n">
        <f aca="false">$B114/AN$1</f>
        <v>0.00106666666666667</v>
      </c>
      <c r="AO114" s="0" t="n">
        <f aca="false">$B114/AO$1</f>
        <v>0.00103896103896104</v>
      </c>
      <c r="AP114" s="0" t="n">
        <f aca="false">$B114/AP$1</f>
        <v>0.0010126582278481</v>
      </c>
      <c r="AQ114" s="0" t="n">
        <f aca="false">$B114/AQ$1</f>
        <v>0.000987654320987654</v>
      </c>
      <c r="AR114" s="0" t="n">
        <f aca="false">$B114/AR$1</f>
        <v>0.000963855421686747</v>
      </c>
      <c r="AS114" s="0" t="n">
        <f aca="false">$B114/AS$1</f>
        <v>0.000941176470588235</v>
      </c>
      <c r="AT114" s="0" t="n">
        <f aca="false">$B114/AT$1</f>
        <v>0.000919540229885057</v>
      </c>
      <c r="AU114" s="0" t="n">
        <f aca="false">$B114/AU$1</f>
        <v>0.000898876404494382</v>
      </c>
      <c r="AV114" s="0" t="n">
        <f aca="false">$B114/AV$1</f>
        <v>0.000879120879120879</v>
      </c>
      <c r="AW114" s="0" t="n">
        <f aca="false">$B114/AW$1</f>
        <v>0.000860215053763441</v>
      </c>
      <c r="AX114" s="0" t="n">
        <f aca="false">$B114/AX$1</f>
        <v>0.000842105263157895</v>
      </c>
      <c r="AY114" s="0" t="n">
        <f aca="false">$B114/AY$1</f>
        <v>0.000824742268041237</v>
      </c>
      <c r="AZ114" s="0" t="n">
        <f aca="false">$B114/AZ$1</f>
        <v>0.000808080808080808</v>
      </c>
      <c r="BA114" s="0" t="n">
        <f aca="false">$B114/BA$1</f>
        <v>0.000792079207920792</v>
      </c>
      <c r="BB114" s="0" t="n">
        <f aca="false">$B114/BB$1</f>
        <v>0.000776699029126214</v>
      </c>
      <c r="BC114" s="0" t="n">
        <f aca="false">$B114/BC$1</f>
        <v>0.000761904761904762</v>
      </c>
      <c r="BD114" s="0" t="n">
        <f aca="false">$B114/BD$1</f>
        <v>0.000747663551401869</v>
      </c>
      <c r="BE114" s="0" t="n">
        <f aca="false">$B114/BE$1</f>
        <v>0.00073394495412844</v>
      </c>
      <c r="BF114" s="0" t="n">
        <f aca="false">$B114/BF$1</f>
        <v>0.000720720720720721</v>
      </c>
      <c r="BG114" s="0" t="n">
        <f aca="false">$B114/BG$1</f>
        <v>0.000707964601769912</v>
      </c>
      <c r="BH114" s="0" t="n">
        <f aca="false">$B114/BH$1</f>
        <v>0.000695652173913044</v>
      </c>
      <c r="BI114" s="0" t="n">
        <f aca="false">$B114/BI$1</f>
        <v>0.000683760683760684</v>
      </c>
      <c r="BJ114" s="0" t="n">
        <f aca="false">$B114/BJ$1</f>
        <v>0.000672268907563025</v>
      </c>
      <c r="BL114" s="0" t="n">
        <f aca="false">IF($B$111=1,COUNTIF(C114:BJ114,"&gt;="&amp;$C$111),0)</f>
        <v>10</v>
      </c>
      <c r="BM114" s="0" t="n">
        <f aca="false">IF($B$111=1,IF(OR(BS114&gt;=Settings!$B$5,Settings!$C$16&gt;0),MAX(BL114,Settings!$C$16),0),0)</f>
        <v>10</v>
      </c>
      <c r="BN114" s="0" t="n">
        <f aca="false">IF($B$111=1,IF(OR(BS114&gt;=Settings!$B$5,Settings!$C$16&gt;0),MAX(0,(2*MAX(BL114,Settings!$C$16)+1)*$C$111-BS114),MAX(0,Settings!$B$5-BS114)),"")</f>
        <v>0.00806451612903225</v>
      </c>
      <c r="BO114" s="0" t="n">
        <f aca="false">IF($B$111=1,IF(OR(BS114&gt;=Settings!$B$5,Settings!$C$16&gt;0),IF(BL114&lt;=Settings!$C$16,"Protected by electorates",IF(Settings!$C$16=0,MIN(BS114-(2*BL114-1)*$D$111,BS114-Settings!$B$5),BS114-(2*BL114-1)*$D$111)),""),"")</f>
        <v>0.00176470588235293</v>
      </c>
      <c r="BP114" s="0" t="n">
        <f aca="false">IF($B$111=1,IF(OR(BS114&gt;=Settings!$B$5,Settings!$C$16&gt;0),MAX(0,MIN(1,(BS114/$C$111-(2*MAX(BL114,Settings!$C$16)-1))/2)),MIN(1,BS114/Settings!$B$5)),"")</f>
        <v>0.0384615384615383</v>
      </c>
      <c r="BQ114" s="0" t="n">
        <f aca="false">IF(AND($B$111=1,COUNTIF(C114:BJ114,$C$111)&gt;0),1,0)</f>
        <v>0</v>
      </c>
      <c r="BR114" s="0" t="n">
        <f aca="false">IF(AND($B$111=1,COUNTIF(C114:BJ114,$D$111)&gt;0),1,0)</f>
        <v>0</v>
      </c>
      <c r="BS114" s="0" t="n">
        <f aca="false">N(IF(Polls!J18="",Polls!J37,Polls!J18))</f>
        <v>0.08</v>
      </c>
      <c r="BT114" s="0" t="str">
        <f aca="false">IF(OR(BS114&gt;=Settings!$B$5,Settings!$C$16&gt;0),"Next seat","Threshold")</f>
        <v>Next seat</v>
      </c>
    </row>
    <row r="115" customFormat="false" ht="15" hidden="false" customHeight="false" outlineLevel="0" collapsed="false">
      <c r="A115" s="0" t="s">
        <v>46</v>
      </c>
      <c r="B115" s="0" t="n">
        <f aca="false">IF(OR(BS115&gt;=Settings!$B$5,Settings!$C$17&gt;0),BS115,0)</f>
        <v>0.07</v>
      </c>
      <c r="C115" s="0" t="n">
        <f aca="false">$B115/C$1</f>
        <v>0.07</v>
      </c>
      <c r="D115" s="0" t="n">
        <f aca="false">$B115/D$1</f>
        <v>0.0233333333333333</v>
      </c>
      <c r="E115" s="0" t="n">
        <f aca="false">$B115/E$1</f>
        <v>0.014</v>
      </c>
      <c r="F115" s="0" t="n">
        <f aca="false">$B115/F$1</f>
        <v>0.01</v>
      </c>
      <c r="G115" s="0" t="n">
        <f aca="false">$B115/G$1</f>
        <v>0.00777777777777778</v>
      </c>
      <c r="H115" s="0" t="n">
        <f aca="false">$B115/H$1</f>
        <v>0.00636363636363636</v>
      </c>
      <c r="I115" s="0" t="n">
        <f aca="false">$B115/I$1</f>
        <v>0.00538461538461539</v>
      </c>
      <c r="J115" s="0" t="n">
        <f aca="false">$B115/J$1</f>
        <v>0.00466666666666667</v>
      </c>
      <c r="K115" s="0" t="n">
        <f aca="false">$B115/K$1</f>
        <v>0.00411764705882353</v>
      </c>
      <c r="L115" s="0" t="n">
        <f aca="false">$B115/L$1</f>
        <v>0.00368421052631579</v>
      </c>
      <c r="M115" s="0" t="n">
        <f aca="false">$B115/M$1</f>
        <v>0.00333333333333333</v>
      </c>
      <c r="N115" s="0" t="n">
        <f aca="false">$B115/N$1</f>
        <v>0.00304347826086957</v>
      </c>
      <c r="O115" s="0" t="n">
        <f aca="false">$B115/O$1</f>
        <v>0.0028</v>
      </c>
      <c r="P115" s="0" t="n">
        <f aca="false">$B115/P$1</f>
        <v>0.00259259259259259</v>
      </c>
      <c r="Q115" s="0" t="n">
        <f aca="false">$B115/Q$1</f>
        <v>0.00241379310344828</v>
      </c>
      <c r="R115" s="0" t="n">
        <f aca="false">$B115/R$1</f>
        <v>0.00225806451612903</v>
      </c>
      <c r="S115" s="0" t="n">
        <f aca="false">$B115/S$1</f>
        <v>0.00212121212121212</v>
      </c>
      <c r="T115" s="0" t="n">
        <f aca="false">$B115/T$1</f>
        <v>0.002</v>
      </c>
      <c r="U115" s="0" t="n">
        <f aca="false">$B115/U$1</f>
        <v>0.00189189189189189</v>
      </c>
      <c r="V115" s="0" t="n">
        <f aca="false">$B115/V$1</f>
        <v>0.0017948717948718</v>
      </c>
      <c r="W115" s="0" t="n">
        <f aca="false">$B115/W$1</f>
        <v>0.00170731707317073</v>
      </c>
      <c r="X115" s="0" t="n">
        <f aca="false">$B115/X$1</f>
        <v>0.00162790697674419</v>
      </c>
      <c r="Y115" s="0" t="n">
        <f aca="false">$B115/Y$1</f>
        <v>0.00155555555555556</v>
      </c>
      <c r="Z115" s="0" t="n">
        <f aca="false">$B115/Z$1</f>
        <v>0.00148936170212766</v>
      </c>
      <c r="AA115" s="0" t="n">
        <f aca="false">$B115/AA$1</f>
        <v>0.00142857142857143</v>
      </c>
      <c r="AB115" s="0" t="n">
        <f aca="false">$B115/AB$1</f>
        <v>0.00137254901960784</v>
      </c>
      <c r="AC115" s="0" t="n">
        <f aca="false">$B115/AC$1</f>
        <v>0.00132075471698113</v>
      </c>
      <c r="AD115" s="0" t="n">
        <f aca="false">$B115/AD$1</f>
        <v>0.00127272727272727</v>
      </c>
      <c r="AE115" s="0" t="n">
        <f aca="false">$B115/AE$1</f>
        <v>0.0012280701754386</v>
      </c>
      <c r="AF115" s="0" t="n">
        <f aca="false">$B115/AF$1</f>
        <v>0.0011864406779661</v>
      </c>
      <c r="AG115" s="0" t="n">
        <f aca="false">$B115/AG$1</f>
        <v>0.00114754098360656</v>
      </c>
      <c r="AH115" s="0" t="n">
        <f aca="false">$B115/AH$1</f>
        <v>0.00111111111111111</v>
      </c>
      <c r="AI115" s="0" t="n">
        <f aca="false">$B115/AI$1</f>
        <v>0.00107692307692308</v>
      </c>
      <c r="AJ115" s="0" t="n">
        <f aca="false">$B115/AJ$1</f>
        <v>0.00104477611940299</v>
      </c>
      <c r="AK115" s="0" t="n">
        <f aca="false">$B115/AK$1</f>
        <v>0.00101449275362319</v>
      </c>
      <c r="AL115" s="0" t="n">
        <f aca="false">$B115/AL$1</f>
        <v>0.000985915492957747</v>
      </c>
      <c r="AM115" s="0" t="n">
        <f aca="false">$B115/AM$1</f>
        <v>0.000958904109589041</v>
      </c>
      <c r="AN115" s="0" t="n">
        <f aca="false">$B115/AN$1</f>
        <v>0.000933333333333333</v>
      </c>
      <c r="AO115" s="0" t="n">
        <f aca="false">$B115/AO$1</f>
        <v>0.000909090909090909</v>
      </c>
      <c r="AP115" s="0" t="n">
        <f aca="false">$B115/AP$1</f>
        <v>0.000886075949367089</v>
      </c>
      <c r="AQ115" s="0" t="n">
        <f aca="false">$B115/AQ$1</f>
        <v>0.000864197530864198</v>
      </c>
      <c r="AR115" s="0" t="n">
        <f aca="false">$B115/AR$1</f>
        <v>0.000843373493975904</v>
      </c>
      <c r="AS115" s="0" t="n">
        <f aca="false">$B115/AS$1</f>
        <v>0.000823529411764706</v>
      </c>
      <c r="AT115" s="0" t="n">
        <f aca="false">$B115/AT$1</f>
        <v>0.000804597701149425</v>
      </c>
      <c r="AU115" s="0" t="n">
        <f aca="false">$B115/AU$1</f>
        <v>0.000786516853932584</v>
      </c>
      <c r="AV115" s="0" t="n">
        <f aca="false">$B115/AV$1</f>
        <v>0.000769230769230769</v>
      </c>
      <c r="AW115" s="0" t="n">
        <f aca="false">$B115/AW$1</f>
        <v>0.000752688172043011</v>
      </c>
      <c r="AX115" s="0" t="n">
        <f aca="false">$B115/AX$1</f>
        <v>0.000736842105263158</v>
      </c>
      <c r="AY115" s="0" t="n">
        <f aca="false">$B115/AY$1</f>
        <v>0.000721649484536083</v>
      </c>
      <c r="AZ115" s="0" t="n">
        <f aca="false">$B115/AZ$1</f>
        <v>0.000707070707070707</v>
      </c>
      <c r="BA115" s="0" t="n">
        <f aca="false">$B115/BA$1</f>
        <v>0.000693069306930693</v>
      </c>
      <c r="BB115" s="0" t="n">
        <f aca="false">$B115/BB$1</f>
        <v>0.000679611650485437</v>
      </c>
      <c r="BC115" s="0" t="n">
        <f aca="false">$B115/BC$1</f>
        <v>0.000666666666666667</v>
      </c>
      <c r="BD115" s="0" t="n">
        <f aca="false">$B115/BD$1</f>
        <v>0.000654205607476636</v>
      </c>
      <c r="BE115" s="0" t="n">
        <f aca="false">$B115/BE$1</f>
        <v>0.000642201834862385</v>
      </c>
      <c r="BF115" s="0" t="n">
        <f aca="false">$B115/BF$1</f>
        <v>0.000630630630630631</v>
      </c>
      <c r="BG115" s="0" t="n">
        <f aca="false">$B115/BG$1</f>
        <v>0.000619469026548673</v>
      </c>
      <c r="BH115" s="0" t="n">
        <f aca="false">$B115/BH$1</f>
        <v>0.000608695652173913</v>
      </c>
      <c r="BI115" s="0" t="n">
        <f aca="false">$B115/BI$1</f>
        <v>0.000598290598290598</v>
      </c>
      <c r="BJ115" s="0" t="n">
        <f aca="false">$B115/BJ$1</f>
        <v>0.000588235294117647</v>
      </c>
      <c r="BL115" s="0" t="n">
        <f aca="false">IF($B$111=1,COUNTIF(C115:BJ115,"&gt;="&amp;$C$111),0)</f>
        <v>8</v>
      </c>
      <c r="BM115" s="0" t="n">
        <f aca="false">IF($B$111=1,IF(OR(BS115&gt;=Settings!$B$5,Settings!$C$17&gt;0),MAX(BL115,Settings!$C$17),0),0)</f>
        <v>8</v>
      </c>
      <c r="BN115" s="0" t="n">
        <f aca="false">IF($B$111=1,IF(OR(BS115&gt;=Settings!$B$5,Settings!$C$17&gt;0),MAX(0,(2*MAX(BL115,Settings!$C$17)+1)*$C$111-BS115),MAX(0,Settings!$B$5-BS115)),"")</f>
        <v>0.00129032258064515</v>
      </c>
      <c r="BO115" s="0" t="n">
        <f aca="false">IF($B$111=1,IF(OR(BS115&gt;=Settings!$B$5,Settings!$C$17&gt;0),IF(BL115&lt;=Settings!$C$17,"Protected by electorates",IF(Settings!$C$17=0,MIN(BS115-(2*BL115-1)*$D$111,BS115-Settings!$B$5),BS115-(2*BL115-1)*$D$111)),""),"")</f>
        <v>0.00823529411764706</v>
      </c>
      <c r="BP115" s="0" t="n">
        <f aca="false">IF($B$111=1,IF(OR(BS115&gt;=Settings!$B$5,Settings!$C$17&gt;0),MAX(0,MIN(1,(BS115/$C$111-(2*MAX(BL115,Settings!$C$17)-1))/2)),MIN(1,BS115/Settings!$B$5)),"")</f>
        <v>0.846153846153847</v>
      </c>
      <c r="BQ115" s="0" t="n">
        <f aca="false">IF(AND($B$111=1,COUNTIF(C115:BJ115,$C$111)&gt;0),1,0)</f>
        <v>0</v>
      </c>
      <c r="BR115" s="0" t="n">
        <f aca="false">IF(AND($B$111=1,COUNTIF(C115:BJ115,$D$111)&gt;0),1,0)</f>
        <v>1</v>
      </c>
      <c r="BS115" s="0" t="n">
        <f aca="false">N(IF(Polls!K18="",Polls!K37,Polls!K18))</f>
        <v>0.07</v>
      </c>
      <c r="BT115" s="0" t="str">
        <f aca="false">IF(OR(BS115&gt;=Settings!$B$5,Settings!$C$17&gt;0),"Next seat","Threshold")</f>
        <v>Next seat</v>
      </c>
    </row>
    <row r="116" customFormat="false" ht="15" hidden="false" customHeight="false" outlineLevel="0" collapsed="false">
      <c r="A116" s="0" t="s">
        <v>48</v>
      </c>
      <c r="B116" s="0" t="n">
        <f aca="false">IF(OR(BS116&gt;=Settings!$B$5,Settings!$C$18&gt;0),BS116,0)</f>
        <v>0.13</v>
      </c>
      <c r="C116" s="0" t="n">
        <f aca="false">$B116/C$1</f>
        <v>0.13</v>
      </c>
      <c r="D116" s="0" t="n">
        <f aca="false">$B116/D$1</f>
        <v>0.0433333333333333</v>
      </c>
      <c r="E116" s="0" t="n">
        <f aca="false">$B116/E$1</f>
        <v>0.026</v>
      </c>
      <c r="F116" s="0" t="n">
        <f aca="false">$B116/F$1</f>
        <v>0.0185714285714286</v>
      </c>
      <c r="G116" s="0" t="n">
        <f aca="false">$B116/G$1</f>
        <v>0.0144444444444444</v>
      </c>
      <c r="H116" s="0" t="n">
        <f aca="false">$B116/H$1</f>
        <v>0.0118181818181818</v>
      </c>
      <c r="I116" s="0" t="n">
        <f aca="false">$B116/I$1</f>
        <v>0.01</v>
      </c>
      <c r="J116" s="0" t="n">
        <f aca="false">$B116/J$1</f>
        <v>0.00866666666666667</v>
      </c>
      <c r="K116" s="0" t="n">
        <f aca="false">$B116/K$1</f>
        <v>0.00764705882352941</v>
      </c>
      <c r="L116" s="0" t="n">
        <f aca="false">$B116/L$1</f>
        <v>0.0068421052631579</v>
      </c>
      <c r="M116" s="0" t="n">
        <f aca="false">$B116/M$1</f>
        <v>0.00619047619047619</v>
      </c>
      <c r="N116" s="0" t="n">
        <f aca="false">$B116/N$1</f>
        <v>0.00565217391304348</v>
      </c>
      <c r="O116" s="0" t="n">
        <f aca="false">$B116/O$1</f>
        <v>0.0052</v>
      </c>
      <c r="P116" s="0" t="n">
        <f aca="false">$B116/P$1</f>
        <v>0.00481481481481482</v>
      </c>
      <c r="Q116" s="0" t="n">
        <f aca="false">$B116/Q$1</f>
        <v>0.00448275862068966</v>
      </c>
      <c r="R116" s="0" t="n">
        <f aca="false">$B116/R$1</f>
        <v>0.00419354838709677</v>
      </c>
      <c r="S116" s="0" t="n">
        <f aca="false">$B116/S$1</f>
        <v>0.00393939393939394</v>
      </c>
      <c r="T116" s="0" t="n">
        <f aca="false">$B116/T$1</f>
        <v>0.00371428571428571</v>
      </c>
      <c r="U116" s="0" t="n">
        <f aca="false">$B116/U$1</f>
        <v>0.00351351351351351</v>
      </c>
      <c r="V116" s="0" t="n">
        <f aca="false">$B116/V$1</f>
        <v>0.00333333333333333</v>
      </c>
      <c r="W116" s="0" t="n">
        <f aca="false">$B116/W$1</f>
        <v>0.00317073170731707</v>
      </c>
      <c r="X116" s="0" t="n">
        <f aca="false">$B116/X$1</f>
        <v>0.00302325581395349</v>
      </c>
      <c r="Y116" s="0" t="n">
        <f aca="false">$B116/Y$1</f>
        <v>0.00288888888888889</v>
      </c>
      <c r="Z116" s="0" t="n">
        <f aca="false">$B116/Z$1</f>
        <v>0.00276595744680851</v>
      </c>
      <c r="AA116" s="0" t="n">
        <f aca="false">$B116/AA$1</f>
        <v>0.0026530612244898</v>
      </c>
      <c r="AB116" s="0" t="n">
        <f aca="false">$B116/AB$1</f>
        <v>0.00254901960784314</v>
      </c>
      <c r="AC116" s="0" t="n">
        <f aca="false">$B116/AC$1</f>
        <v>0.00245283018867925</v>
      </c>
      <c r="AD116" s="0" t="n">
        <f aca="false">$B116/AD$1</f>
        <v>0.00236363636363636</v>
      </c>
      <c r="AE116" s="0" t="n">
        <f aca="false">$B116/AE$1</f>
        <v>0.00228070175438597</v>
      </c>
      <c r="AF116" s="0" t="n">
        <f aca="false">$B116/AF$1</f>
        <v>0.00220338983050847</v>
      </c>
      <c r="AG116" s="0" t="n">
        <f aca="false">$B116/AG$1</f>
        <v>0.00213114754098361</v>
      </c>
      <c r="AH116" s="0" t="n">
        <f aca="false">$B116/AH$1</f>
        <v>0.00206349206349206</v>
      </c>
      <c r="AI116" s="0" t="n">
        <f aca="false">$B116/AI$1</f>
        <v>0.002</v>
      </c>
      <c r="AJ116" s="0" t="n">
        <f aca="false">$B116/AJ$1</f>
        <v>0.00194029850746269</v>
      </c>
      <c r="AK116" s="0" t="n">
        <f aca="false">$B116/AK$1</f>
        <v>0.00188405797101449</v>
      </c>
      <c r="AL116" s="0" t="n">
        <f aca="false">$B116/AL$1</f>
        <v>0.00183098591549296</v>
      </c>
      <c r="AM116" s="0" t="n">
        <f aca="false">$B116/AM$1</f>
        <v>0.00178082191780822</v>
      </c>
      <c r="AN116" s="0" t="n">
        <f aca="false">$B116/AN$1</f>
        <v>0.00173333333333333</v>
      </c>
      <c r="AO116" s="0" t="n">
        <f aca="false">$B116/AO$1</f>
        <v>0.00168831168831169</v>
      </c>
      <c r="AP116" s="0" t="n">
        <f aca="false">$B116/AP$1</f>
        <v>0.00164556962025316</v>
      </c>
      <c r="AQ116" s="0" t="n">
        <f aca="false">$B116/AQ$1</f>
        <v>0.00160493827160494</v>
      </c>
      <c r="AR116" s="0" t="n">
        <f aca="false">$B116/AR$1</f>
        <v>0.00156626506024096</v>
      </c>
      <c r="AS116" s="0" t="n">
        <f aca="false">$B116/AS$1</f>
        <v>0.00152941176470588</v>
      </c>
      <c r="AT116" s="0" t="n">
        <f aca="false">$B116/AT$1</f>
        <v>0.00149425287356322</v>
      </c>
      <c r="AU116" s="0" t="n">
        <f aca="false">$B116/AU$1</f>
        <v>0.00146067415730337</v>
      </c>
      <c r="AV116" s="0" t="n">
        <f aca="false">$B116/AV$1</f>
        <v>0.00142857142857143</v>
      </c>
      <c r="AW116" s="0" t="n">
        <f aca="false">$B116/AW$1</f>
        <v>0.00139784946236559</v>
      </c>
      <c r="AX116" s="0" t="n">
        <f aca="false">$B116/AX$1</f>
        <v>0.00136842105263158</v>
      </c>
      <c r="AY116" s="0" t="n">
        <f aca="false">$B116/AY$1</f>
        <v>0.00134020618556701</v>
      </c>
      <c r="AZ116" s="0" t="n">
        <f aca="false">$B116/AZ$1</f>
        <v>0.00131313131313131</v>
      </c>
      <c r="BA116" s="0" t="n">
        <f aca="false">$B116/BA$1</f>
        <v>0.00128712871287129</v>
      </c>
      <c r="BB116" s="0" t="n">
        <f aca="false">$B116/BB$1</f>
        <v>0.0012621359223301</v>
      </c>
      <c r="BC116" s="0" t="n">
        <f aca="false">$B116/BC$1</f>
        <v>0.00123809523809524</v>
      </c>
      <c r="BD116" s="0" t="n">
        <f aca="false">$B116/BD$1</f>
        <v>0.00121495327102804</v>
      </c>
      <c r="BE116" s="0" t="n">
        <f aca="false">$B116/BE$1</f>
        <v>0.00119266055045872</v>
      </c>
      <c r="BF116" s="0" t="n">
        <f aca="false">$B116/BF$1</f>
        <v>0.00117117117117117</v>
      </c>
      <c r="BG116" s="0" t="n">
        <f aca="false">$B116/BG$1</f>
        <v>0.00115044247787611</v>
      </c>
      <c r="BH116" s="0" t="n">
        <f aca="false">$B116/BH$1</f>
        <v>0.0011304347826087</v>
      </c>
      <c r="BI116" s="0" t="n">
        <f aca="false">$B116/BI$1</f>
        <v>0.00111111111111111</v>
      </c>
      <c r="BJ116" s="0" t="n">
        <f aca="false">$B116/BJ$1</f>
        <v>0.00109243697478992</v>
      </c>
      <c r="BL116" s="0" t="n">
        <f aca="false">IF($B$111=1,COUNTIF(C116:BJ116,"&gt;="&amp;$C$111),0)</f>
        <v>16</v>
      </c>
      <c r="BM116" s="0" t="n">
        <f aca="false">IF($B$111=1,IF(OR(BS116&gt;=Settings!$B$5,Settings!$C$18&gt;0),MAX(BL116,Settings!$C$18),0),0)</f>
        <v>16</v>
      </c>
      <c r="BN116" s="0" t="n">
        <f aca="false">IF($B$111=1,IF(OR(BS116&gt;=Settings!$B$5,Settings!$C$18&gt;0),MAX(0,(2*MAX(BL116,Settings!$C$18)+1)*$C$111-BS116),MAX(0,Settings!$B$5-BS116)),"")</f>
        <v>0.00838709677419353</v>
      </c>
      <c r="BO116" s="0" t="n">
        <f aca="false">IF($B$111=1,IF(OR(BS116&gt;=Settings!$B$5,Settings!$C$18&gt;0),IF(BL116&lt;=Settings!$C$18,"Protected by electorates",IF(Settings!$C$18=0,MIN(BS116-(2*BL116-1)*$D$111,BS116-Settings!$B$5),BS116-(2*BL116-1)*$D$111)),""),"")</f>
        <v>0.00235294117647059</v>
      </c>
      <c r="BP116" s="0" t="n">
        <f aca="false">IF($B$111=1,IF(OR(BS116&gt;=Settings!$B$5,Settings!$C$18&gt;0),MAX(0,MIN(1,(BS116/$C$111-(2*MAX(BL116,Settings!$C$18)-1))/2)),MIN(1,BS116/Settings!$B$5)),"")</f>
        <v>0</v>
      </c>
      <c r="BQ116" s="0" t="n">
        <f aca="false">IF(AND($B$111=1,COUNTIF(C116:BJ116,$C$111)&gt;0),1,0)</f>
        <v>1</v>
      </c>
      <c r="BR116" s="0" t="n">
        <f aca="false">IF(AND($B$111=1,COUNTIF(C116:BJ116,$D$111)&gt;0),1,0)</f>
        <v>0</v>
      </c>
      <c r="BS116" s="0" t="n">
        <f aca="false">N(IF(Polls!L18="",Polls!L37,Polls!L18))</f>
        <v>0.13</v>
      </c>
      <c r="BT116" s="0" t="str">
        <f aca="false">IF(OR(BS116&gt;=Settings!$B$5,Settings!$C$18&gt;0),"Next seat","Threshold")</f>
        <v>Next seat</v>
      </c>
    </row>
    <row r="117" customFormat="false" ht="15" hidden="false" customHeight="false" outlineLevel="0" collapsed="false">
      <c r="A117" s="0" t="s">
        <v>50</v>
      </c>
      <c r="B117" s="0" t="n">
        <f aca="false">IF(OR(BS117&gt;=Settings!$B$5,Settings!$C$19&gt;0),BS117,0)</f>
        <v>0.03</v>
      </c>
      <c r="C117" s="0" t="n">
        <f aca="false">$B117/C$1</f>
        <v>0.03</v>
      </c>
      <c r="D117" s="0" t="n">
        <f aca="false">$B117/D$1</f>
        <v>0.01</v>
      </c>
      <c r="E117" s="0" t="n">
        <f aca="false">$B117/E$1</f>
        <v>0.006</v>
      </c>
      <c r="F117" s="0" t="n">
        <f aca="false">$B117/F$1</f>
        <v>0.00428571428571429</v>
      </c>
      <c r="G117" s="0" t="n">
        <f aca="false">$B117/G$1</f>
        <v>0.00333333333333333</v>
      </c>
      <c r="H117" s="0" t="n">
        <f aca="false">$B117/H$1</f>
        <v>0.00272727272727273</v>
      </c>
      <c r="I117" s="0" t="n">
        <f aca="false">$B117/I$1</f>
        <v>0.00230769230769231</v>
      </c>
      <c r="J117" s="0" t="n">
        <f aca="false">$B117/J$1</f>
        <v>0.002</v>
      </c>
      <c r="K117" s="0" t="n">
        <f aca="false">$B117/K$1</f>
        <v>0.00176470588235294</v>
      </c>
      <c r="L117" s="0" t="n">
        <f aca="false">$B117/L$1</f>
        <v>0.00157894736842105</v>
      </c>
      <c r="M117" s="0" t="n">
        <f aca="false">$B117/M$1</f>
        <v>0.00142857142857143</v>
      </c>
      <c r="N117" s="0" t="n">
        <f aca="false">$B117/N$1</f>
        <v>0.00130434782608696</v>
      </c>
      <c r="O117" s="0" t="n">
        <f aca="false">$B117/O$1</f>
        <v>0.0012</v>
      </c>
      <c r="P117" s="0" t="n">
        <f aca="false">$B117/P$1</f>
        <v>0.00111111111111111</v>
      </c>
      <c r="Q117" s="0" t="n">
        <f aca="false">$B117/Q$1</f>
        <v>0.00103448275862069</v>
      </c>
      <c r="R117" s="0" t="n">
        <f aca="false">$B117/R$1</f>
        <v>0.000967741935483871</v>
      </c>
      <c r="S117" s="0" t="n">
        <f aca="false">$B117/S$1</f>
        <v>0.000909090909090909</v>
      </c>
      <c r="T117" s="0" t="n">
        <f aca="false">$B117/T$1</f>
        <v>0.000857142857142857</v>
      </c>
      <c r="U117" s="0" t="n">
        <f aca="false">$B117/U$1</f>
        <v>0.000810810810810811</v>
      </c>
      <c r="V117" s="0" t="n">
        <f aca="false">$B117/V$1</f>
        <v>0.000769230769230769</v>
      </c>
      <c r="W117" s="0" t="n">
        <f aca="false">$B117/W$1</f>
        <v>0.000731707317073171</v>
      </c>
      <c r="X117" s="0" t="n">
        <f aca="false">$B117/X$1</f>
        <v>0.000697674418604651</v>
      </c>
      <c r="Y117" s="0" t="n">
        <f aca="false">$B117/Y$1</f>
        <v>0.000666666666666667</v>
      </c>
      <c r="Z117" s="0" t="n">
        <f aca="false">$B117/Z$1</f>
        <v>0.000638297872340426</v>
      </c>
      <c r="AA117" s="0" t="n">
        <f aca="false">$B117/AA$1</f>
        <v>0.000612244897959184</v>
      </c>
      <c r="AB117" s="0" t="n">
        <f aca="false">$B117/AB$1</f>
        <v>0.000588235294117647</v>
      </c>
      <c r="AC117" s="0" t="n">
        <f aca="false">$B117/AC$1</f>
        <v>0.000566037735849057</v>
      </c>
      <c r="AD117" s="0" t="n">
        <f aca="false">$B117/AD$1</f>
        <v>0.000545454545454546</v>
      </c>
      <c r="AE117" s="0" t="n">
        <f aca="false">$B117/AE$1</f>
        <v>0.000526315789473684</v>
      </c>
      <c r="AF117" s="0" t="n">
        <f aca="false">$B117/AF$1</f>
        <v>0.000508474576271186</v>
      </c>
      <c r="AG117" s="0" t="n">
        <f aca="false">$B117/AG$1</f>
        <v>0.000491803278688525</v>
      </c>
      <c r="AH117" s="0" t="n">
        <f aca="false">$B117/AH$1</f>
        <v>0.000476190476190476</v>
      </c>
      <c r="AI117" s="0" t="n">
        <f aca="false">$B117/AI$1</f>
        <v>0.000461538461538462</v>
      </c>
      <c r="AJ117" s="0" t="n">
        <f aca="false">$B117/AJ$1</f>
        <v>0.000447761194029851</v>
      </c>
      <c r="AK117" s="0" t="n">
        <f aca="false">$B117/AK$1</f>
        <v>0.000434782608695652</v>
      </c>
      <c r="AL117" s="0" t="n">
        <f aca="false">$B117/AL$1</f>
        <v>0.000422535211267606</v>
      </c>
      <c r="AM117" s="0" t="n">
        <f aca="false">$B117/AM$1</f>
        <v>0.000410958904109589</v>
      </c>
      <c r="AN117" s="0" t="n">
        <f aca="false">$B117/AN$1</f>
        <v>0.0004</v>
      </c>
      <c r="AO117" s="0" t="n">
        <f aca="false">$B117/AO$1</f>
        <v>0.00038961038961039</v>
      </c>
      <c r="AP117" s="0" t="n">
        <f aca="false">$B117/AP$1</f>
        <v>0.000379746835443038</v>
      </c>
      <c r="AQ117" s="0" t="n">
        <f aca="false">$B117/AQ$1</f>
        <v>0.00037037037037037</v>
      </c>
      <c r="AR117" s="0" t="n">
        <f aca="false">$B117/AR$1</f>
        <v>0.00036144578313253</v>
      </c>
      <c r="AS117" s="0" t="n">
        <f aca="false">$B117/AS$1</f>
        <v>0.000352941176470588</v>
      </c>
      <c r="AT117" s="0" t="n">
        <f aca="false">$B117/AT$1</f>
        <v>0.000344827586206897</v>
      </c>
      <c r="AU117" s="0" t="n">
        <f aca="false">$B117/AU$1</f>
        <v>0.000337078651685393</v>
      </c>
      <c r="AV117" s="0" t="n">
        <f aca="false">$B117/AV$1</f>
        <v>0.00032967032967033</v>
      </c>
      <c r="AW117" s="0" t="n">
        <f aca="false">$B117/AW$1</f>
        <v>0.00032258064516129</v>
      </c>
      <c r="AX117" s="0" t="n">
        <f aca="false">$B117/AX$1</f>
        <v>0.000315789473684211</v>
      </c>
      <c r="AY117" s="0" t="n">
        <f aca="false">$B117/AY$1</f>
        <v>0.000309278350515464</v>
      </c>
      <c r="AZ117" s="0" t="n">
        <f aca="false">$B117/AZ$1</f>
        <v>0.000303030303030303</v>
      </c>
      <c r="BA117" s="0" t="n">
        <f aca="false">$B117/BA$1</f>
        <v>0.000297029702970297</v>
      </c>
      <c r="BB117" s="0" t="n">
        <f aca="false">$B117/BB$1</f>
        <v>0.00029126213592233</v>
      </c>
      <c r="BC117" s="0" t="n">
        <f aca="false">$B117/BC$1</f>
        <v>0.000285714285714286</v>
      </c>
      <c r="BD117" s="0" t="n">
        <f aca="false">$B117/BD$1</f>
        <v>0.000280373831775701</v>
      </c>
      <c r="BE117" s="0" t="n">
        <f aca="false">$B117/BE$1</f>
        <v>0.000275229357798165</v>
      </c>
      <c r="BF117" s="0" t="n">
        <f aca="false">$B117/BF$1</f>
        <v>0.00027027027027027</v>
      </c>
      <c r="BG117" s="0" t="n">
        <f aca="false">$B117/BG$1</f>
        <v>0.000265486725663717</v>
      </c>
      <c r="BH117" s="0" t="n">
        <f aca="false">$B117/BH$1</f>
        <v>0.000260869565217391</v>
      </c>
      <c r="BI117" s="0" t="n">
        <f aca="false">$B117/BI$1</f>
        <v>0.000256410256410256</v>
      </c>
      <c r="BJ117" s="0" t="n">
        <f aca="false">$B117/BJ$1</f>
        <v>0.000252100840336134</v>
      </c>
      <c r="BL117" s="0" t="n">
        <f aca="false">IF($B$111=1,COUNTIF(C117:BJ117,"&gt;="&amp;$C$111),0)</f>
        <v>4</v>
      </c>
      <c r="BM117" s="0" t="n">
        <f aca="false">IF($B$111=1,IF(OR(BS117&gt;=Settings!$B$5,Settings!$C$19&gt;0),MAX(BL117,Settings!$C$19),0),0)</f>
        <v>4</v>
      </c>
      <c r="BN117" s="0" t="n">
        <f aca="false">IF($B$111=1,IF(OR(BS117&gt;=Settings!$B$5,Settings!$C$19&gt;0),MAX(0,(2*MAX(BL117,Settings!$C$19)+1)*$C$111-BS117),MAX(0,Settings!$B$5-BS117)),"")</f>
        <v>0.00774193548387097</v>
      </c>
      <c r="BO117" s="0" t="str">
        <f aca="false">IF($B$111=1,IF(OR(BS117&gt;=Settings!$B$5,Settings!$C$19&gt;0),IF(BL117&lt;=Settings!$C$19,"Protected by electorates",IF(Settings!$C$19=0,MIN(BS117-(2*BL117-1)*$D$111,BS117-Settings!$B$5),BS117-(2*BL117-1)*$D$111)),""),"")</f>
        <v>Protected by electorates</v>
      </c>
      <c r="BP117" s="0" t="n">
        <f aca="false">IF($B$111=1,IF(OR(BS117&gt;=Settings!$B$5,Settings!$C$19&gt;0),MAX(0,MIN(1,(BS117/$C$111-(2*MAX(BL117,Settings!$C$19)-1))/2)),MIN(1,BS117/Settings!$B$5)),"")</f>
        <v>0.0769230769230771</v>
      </c>
      <c r="BQ117" s="0" t="n">
        <f aca="false">IF(AND($B$111=1,COUNTIF(C117:BJ117,$C$111)&gt;0),1,0)</f>
        <v>0</v>
      </c>
      <c r="BR117" s="0" t="n">
        <f aca="false">IF(AND($B$111=1,COUNTIF(C117:BJ117,$D$111)&gt;0),1,0)</f>
        <v>0</v>
      </c>
      <c r="BS117" s="0" t="n">
        <f aca="false">N(IF(Polls!M18="",Polls!M37,Polls!M18))</f>
        <v>0.03</v>
      </c>
      <c r="BT117" s="0" t="str">
        <f aca="false">IF(OR(BS117&gt;=Settings!$B$5,Settings!$C$19&gt;0),"Next seat","Threshold")</f>
        <v>Next seat</v>
      </c>
    </row>
    <row r="118" customFormat="false" ht="15" hidden="false" customHeight="false" outlineLevel="0" collapsed="false">
      <c r="A118" s="0" t="s">
        <v>52</v>
      </c>
      <c r="B118" s="0" t="n">
        <f aca="false">IF(OR(BS118&gt;=Settings!$B$5,Settings!$C$20&gt;0),BS118,0)</f>
        <v>0.052</v>
      </c>
      <c r="C118" s="0" t="n">
        <f aca="false">$B118/C$1</f>
        <v>0.052</v>
      </c>
      <c r="D118" s="0" t="n">
        <f aca="false">$B118/D$1</f>
        <v>0.0173333333333333</v>
      </c>
      <c r="E118" s="0" t="n">
        <f aca="false">$B118/E$1</f>
        <v>0.0104</v>
      </c>
      <c r="F118" s="0" t="n">
        <f aca="false">$B118/F$1</f>
        <v>0.00742857142857143</v>
      </c>
      <c r="G118" s="0" t="n">
        <f aca="false">$B118/G$1</f>
        <v>0.00577777777777778</v>
      </c>
      <c r="H118" s="0" t="n">
        <f aca="false">$B118/H$1</f>
        <v>0.00472727272727273</v>
      </c>
      <c r="I118" s="0" t="n">
        <f aca="false">$B118/I$1</f>
        <v>0.004</v>
      </c>
      <c r="J118" s="0" t="n">
        <f aca="false">$B118/J$1</f>
        <v>0.00346666666666667</v>
      </c>
      <c r="K118" s="0" t="n">
        <f aca="false">$B118/K$1</f>
        <v>0.00305882352941176</v>
      </c>
      <c r="L118" s="0" t="n">
        <f aca="false">$B118/L$1</f>
        <v>0.00273684210526316</v>
      </c>
      <c r="M118" s="0" t="n">
        <f aca="false">$B118/M$1</f>
        <v>0.00247619047619048</v>
      </c>
      <c r="N118" s="0" t="n">
        <f aca="false">$B118/N$1</f>
        <v>0.00226086956521739</v>
      </c>
      <c r="O118" s="0" t="n">
        <f aca="false">$B118/O$1</f>
        <v>0.00208</v>
      </c>
      <c r="P118" s="0" t="n">
        <f aca="false">$B118/P$1</f>
        <v>0.00192592592592593</v>
      </c>
      <c r="Q118" s="0" t="n">
        <f aca="false">$B118/Q$1</f>
        <v>0.00179310344827586</v>
      </c>
      <c r="R118" s="0" t="n">
        <f aca="false">$B118/R$1</f>
        <v>0.00167741935483871</v>
      </c>
      <c r="S118" s="0" t="n">
        <f aca="false">$B118/S$1</f>
        <v>0.00157575757575758</v>
      </c>
      <c r="T118" s="0" t="n">
        <f aca="false">$B118/T$1</f>
        <v>0.00148571428571429</v>
      </c>
      <c r="U118" s="0" t="n">
        <f aca="false">$B118/U$1</f>
        <v>0.00140540540540541</v>
      </c>
      <c r="V118" s="0" t="n">
        <f aca="false">$B118/V$1</f>
        <v>0.00133333333333333</v>
      </c>
      <c r="W118" s="0" t="n">
        <f aca="false">$B118/W$1</f>
        <v>0.00126829268292683</v>
      </c>
      <c r="X118" s="0" t="n">
        <f aca="false">$B118/X$1</f>
        <v>0.0012093023255814</v>
      </c>
      <c r="Y118" s="0" t="n">
        <f aca="false">$B118/Y$1</f>
        <v>0.00115555555555556</v>
      </c>
      <c r="Z118" s="0" t="n">
        <f aca="false">$B118/Z$1</f>
        <v>0.0011063829787234</v>
      </c>
      <c r="AA118" s="0" t="n">
        <f aca="false">$B118/AA$1</f>
        <v>0.00106122448979592</v>
      </c>
      <c r="AB118" s="0" t="n">
        <f aca="false">$B118/AB$1</f>
        <v>0.00101960784313726</v>
      </c>
      <c r="AC118" s="0" t="n">
        <f aca="false">$B118/AC$1</f>
        <v>0.000981132075471698</v>
      </c>
      <c r="AD118" s="0" t="n">
        <f aca="false">$B118/AD$1</f>
        <v>0.000945454545454545</v>
      </c>
      <c r="AE118" s="0" t="n">
        <f aca="false">$B118/AE$1</f>
        <v>0.000912280701754386</v>
      </c>
      <c r="AF118" s="0" t="n">
        <f aca="false">$B118/AF$1</f>
        <v>0.00088135593220339</v>
      </c>
      <c r="AG118" s="0" t="n">
        <f aca="false">$B118/AG$1</f>
        <v>0.000852459016393443</v>
      </c>
      <c r="AH118" s="0" t="n">
        <f aca="false">$B118/AH$1</f>
        <v>0.000825396825396825</v>
      </c>
      <c r="AI118" s="0" t="n">
        <f aca="false">$B118/AI$1</f>
        <v>0.0008</v>
      </c>
      <c r="AJ118" s="0" t="n">
        <f aca="false">$B118/AJ$1</f>
        <v>0.000776119402985075</v>
      </c>
      <c r="AK118" s="0" t="n">
        <f aca="false">$B118/AK$1</f>
        <v>0.000753623188405797</v>
      </c>
      <c r="AL118" s="0" t="n">
        <f aca="false">$B118/AL$1</f>
        <v>0.000732394366197183</v>
      </c>
      <c r="AM118" s="0" t="n">
        <f aca="false">$B118/AM$1</f>
        <v>0.000712328767123288</v>
      </c>
      <c r="AN118" s="0" t="n">
        <f aca="false">$B118/AN$1</f>
        <v>0.000693333333333333</v>
      </c>
      <c r="AO118" s="0" t="n">
        <f aca="false">$B118/AO$1</f>
        <v>0.000675324675324675</v>
      </c>
      <c r="AP118" s="0" t="n">
        <f aca="false">$B118/AP$1</f>
        <v>0.000658227848101266</v>
      </c>
      <c r="AQ118" s="0" t="n">
        <f aca="false">$B118/AQ$1</f>
        <v>0.000641975308641975</v>
      </c>
      <c r="AR118" s="0" t="n">
        <f aca="false">$B118/AR$1</f>
        <v>0.000626506024096386</v>
      </c>
      <c r="AS118" s="0" t="n">
        <f aca="false">$B118/AS$1</f>
        <v>0.000611764705882353</v>
      </c>
      <c r="AT118" s="0" t="n">
        <f aca="false">$B118/AT$1</f>
        <v>0.000597701149425287</v>
      </c>
      <c r="AU118" s="0" t="n">
        <f aca="false">$B118/AU$1</f>
        <v>0.000584269662921348</v>
      </c>
      <c r="AV118" s="0" t="n">
        <f aca="false">$B118/AV$1</f>
        <v>0.000571428571428571</v>
      </c>
      <c r="AW118" s="0" t="n">
        <f aca="false">$B118/AW$1</f>
        <v>0.000559139784946237</v>
      </c>
      <c r="AX118" s="0" t="n">
        <f aca="false">$B118/AX$1</f>
        <v>0.000547368421052632</v>
      </c>
      <c r="AY118" s="0" t="n">
        <f aca="false">$B118/AY$1</f>
        <v>0.000536082474226804</v>
      </c>
      <c r="AZ118" s="0" t="n">
        <f aca="false">$B118/AZ$1</f>
        <v>0.000525252525252525</v>
      </c>
      <c r="BA118" s="0" t="n">
        <f aca="false">$B118/BA$1</f>
        <v>0.000514851485148515</v>
      </c>
      <c r="BB118" s="0" t="n">
        <f aca="false">$B118/BB$1</f>
        <v>0.000504854368932039</v>
      </c>
      <c r="BC118" s="0" t="n">
        <f aca="false">$B118/BC$1</f>
        <v>0.000495238095238095</v>
      </c>
      <c r="BD118" s="0" t="n">
        <f aca="false">$B118/BD$1</f>
        <v>0.000485981308411215</v>
      </c>
      <c r="BE118" s="0" t="n">
        <f aca="false">$B118/BE$1</f>
        <v>0.000477064220183486</v>
      </c>
      <c r="BF118" s="0" t="n">
        <f aca="false">$B118/BF$1</f>
        <v>0.000468468468468468</v>
      </c>
      <c r="BG118" s="0" t="n">
        <f aca="false">$B118/BG$1</f>
        <v>0.000460176991150442</v>
      </c>
      <c r="BH118" s="0" t="n">
        <f aca="false">$B118/BH$1</f>
        <v>0.000452173913043478</v>
      </c>
      <c r="BI118" s="0" t="n">
        <f aca="false">$B118/BI$1</f>
        <v>0.000444444444444444</v>
      </c>
      <c r="BJ118" s="0" t="n">
        <f aca="false">$B118/BJ$1</f>
        <v>0.000436974789915966</v>
      </c>
      <c r="BL118" s="0" t="n">
        <f aca="false">IF($B$111=1,COUNTIF(C118:BJ118,"&gt;="&amp;$C$111),0)</f>
        <v>6</v>
      </c>
      <c r="BM118" s="0" t="n">
        <f aca="false">IF($B$111=1,IF(OR(BS118&gt;=Settings!$B$5,Settings!$C$20&gt;0),MAX(BL118,Settings!$C$20),0),0)</f>
        <v>6</v>
      </c>
      <c r="BN118" s="0" t="n">
        <f aca="false">IF($B$111=1,IF(OR(BS118&gt;=Settings!$B$5,Settings!$C$20&gt;0),MAX(0,(2*MAX(BL118,Settings!$C$20)+1)*$C$111-BS118),MAX(0,Settings!$B$5-BS118)),"")</f>
        <v>0.00251612903225806</v>
      </c>
      <c r="BO118" s="0" t="n">
        <f aca="false">IF($B$111=1,IF(OR(BS118&gt;=Settings!$B$5,Settings!$C$20&gt;0),IF(BL118&lt;=Settings!$C$20,"Protected by electorates",IF(Settings!$C$20=0,MIN(BS118-(2*BL118-1)*$D$111,BS118-Settings!$B$5),BS118-(2*BL118-1)*$D$111)),""),"")</f>
        <v>0.002</v>
      </c>
      <c r="BP118" s="0" t="n">
        <f aca="false">IF($B$111=1,IF(OR(BS118&gt;=Settings!$B$5,Settings!$C$20&gt;0),MAX(0,MIN(1,(BS118/$C$111-(2*MAX(BL118,Settings!$C$20)-1))/2)),MIN(1,BS118/Settings!$B$5)),"")</f>
        <v>0.7</v>
      </c>
      <c r="BQ118" s="0" t="n">
        <f aca="false">IF(AND($B$111=1,COUNTIF(C118:BJ118,$C$111)&gt;0),1,0)</f>
        <v>0</v>
      </c>
      <c r="BR118" s="0" t="n">
        <f aca="false">IF(AND($B$111=1,COUNTIF(C118:BJ118,$D$111)&gt;0),1,0)</f>
        <v>0</v>
      </c>
      <c r="BS118" s="0" t="n">
        <f aca="false">N(IF(Polls!N18="",Polls!N37,Polls!N18))</f>
        <v>0.052</v>
      </c>
      <c r="BT118" s="0" t="str">
        <f aca="false">IF(OR(BS118&gt;=Settings!$B$5,Settings!$C$20&gt;0),"Next seat","Threshold")</f>
        <v>Next seat</v>
      </c>
    </row>
    <row r="120" customFormat="false" ht="15" hidden="false" customHeight="false" outlineLevel="0" collapsed="false">
      <c r="A120" s="41" t="str">
        <f aca="false">Polls!A19</f>
        <v>Curia Aug</v>
      </c>
      <c r="B120" s="17" t="n">
        <f aca="false">IF(SUM(BS121:BS127)&gt;0,1,0)</f>
        <v>1</v>
      </c>
      <c r="C120" s="17" t="n">
        <f aca="false">IF(B120=1,LARGE(C121:BJ127,Settings!$B$4),0)</f>
        <v>0.00391549295774648</v>
      </c>
      <c r="D120" s="17" t="n">
        <f aca="false">IF(B120=1,LARGE(C121:BJ127,Settings!$B$4+1),0)</f>
        <v>0.00384210526315789</v>
      </c>
      <c r="E120" s="0" t="str">
        <f aca="false">IF(B120=1,IFERROR(INDEX(A121:A127,MATCH(1,BQ121:BQ127,0)),""),"")</f>
        <v>LAB</v>
      </c>
      <c r="F120" s="0" t="str">
        <f aca="false">IF(B120=1,IFERROR(INDEX(A121:A127,MATCH(1,BR121:BR127,0)),""),"")</f>
        <v>ACT</v>
      </c>
      <c r="G120" s="17" t="n">
        <f aca="false">IF(B120=1,SUM(BM121:BM127)+Settings!$B$10,"")</f>
        <v>122</v>
      </c>
    </row>
    <row r="121" customFormat="false" ht="15" hidden="false" customHeight="false" outlineLevel="0" collapsed="false">
      <c r="A121" s="0" t="s">
        <v>41</v>
      </c>
      <c r="B121" s="0" t="n">
        <f aca="false">IF(OR(BS121&gt;=Settings!$B$5,Settings!$C$14&gt;0),BS121,0)</f>
        <v>0.31</v>
      </c>
      <c r="C121" s="0" t="n">
        <f aca="false">$B121/C$1</f>
        <v>0.31</v>
      </c>
      <c r="D121" s="0" t="n">
        <f aca="false">$B121/D$1</f>
        <v>0.103333333333333</v>
      </c>
      <c r="E121" s="0" t="n">
        <f aca="false">$B121/E$1</f>
        <v>0.062</v>
      </c>
      <c r="F121" s="0" t="n">
        <f aca="false">$B121/F$1</f>
        <v>0.0442857142857143</v>
      </c>
      <c r="G121" s="0" t="n">
        <f aca="false">$B121/G$1</f>
        <v>0.0344444444444444</v>
      </c>
      <c r="H121" s="0" t="n">
        <f aca="false">$B121/H$1</f>
        <v>0.0281818181818182</v>
      </c>
      <c r="I121" s="0" t="n">
        <f aca="false">$B121/I$1</f>
        <v>0.0238461538461538</v>
      </c>
      <c r="J121" s="0" t="n">
        <f aca="false">$B121/J$1</f>
        <v>0.0206666666666667</v>
      </c>
      <c r="K121" s="0" t="n">
        <f aca="false">$B121/K$1</f>
        <v>0.0182352941176471</v>
      </c>
      <c r="L121" s="0" t="n">
        <f aca="false">$B121/L$1</f>
        <v>0.0163157894736842</v>
      </c>
      <c r="M121" s="0" t="n">
        <f aca="false">$B121/M$1</f>
        <v>0.0147619047619048</v>
      </c>
      <c r="N121" s="0" t="n">
        <f aca="false">$B121/N$1</f>
        <v>0.0134782608695652</v>
      </c>
      <c r="O121" s="0" t="n">
        <f aca="false">$B121/O$1</f>
        <v>0.0124</v>
      </c>
      <c r="P121" s="0" t="n">
        <f aca="false">$B121/P$1</f>
        <v>0.0114814814814815</v>
      </c>
      <c r="Q121" s="0" t="n">
        <f aca="false">$B121/Q$1</f>
        <v>0.0106896551724138</v>
      </c>
      <c r="R121" s="0" t="n">
        <f aca="false">$B121/R$1</f>
        <v>0.01</v>
      </c>
      <c r="S121" s="0" t="n">
        <f aca="false">$B121/S$1</f>
        <v>0.00939393939393939</v>
      </c>
      <c r="T121" s="0" t="n">
        <f aca="false">$B121/T$1</f>
        <v>0.00885714285714286</v>
      </c>
      <c r="U121" s="0" t="n">
        <f aca="false">$B121/U$1</f>
        <v>0.00837837837837838</v>
      </c>
      <c r="V121" s="0" t="n">
        <f aca="false">$B121/V$1</f>
        <v>0.00794871794871795</v>
      </c>
      <c r="W121" s="0" t="n">
        <f aca="false">$B121/W$1</f>
        <v>0.0075609756097561</v>
      </c>
      <c r="X121" s="0" t="n">
        <f aca="false">$B121/X$1</f>
        <v>0.0072093023255814</v>
      </c>
      <c r="Y121" s="0" t="n">
        <f aca="false">$B121/Y$1</f>
        <v>0.00688888888888889</v>
      </c>
      <c r="Z121" s="0" t="n">
        <f aca="false">$B121/Z$1</f>
        <v>0.00659574468085106</v>
      </c>
      <c r="AA121" s="0" t="n">
        <f aca="false">$B121/AA$1</f>
        <v>0.0063265306122449</v>
      </c>
      <c r="AB121" s="0" t="n">
        <f aca="false">$B121/AB$1</f>
        <v>0.00607843137254902</v>
      </c>
      <c r="AC121" s="0" t="n">
        <f aca="false">$B121/AC$1</f>
        <v>0.00584905660377359</v>
      </c>
      <c r="AD121" s="0" t="n">
        <f aca="false">$B121/AD$1</f>
        <v>0.00563636363636364</v>
      </c>
      <c r="AE121" s="0" t="n">
        <f aca="false">$B121/AE$1</f>
        <v>0.00543859649122807</v>
      </c>
      <c r="AF121" s="0" t="n">
        <f aca="false">$B121/AF$1</f>
        <v>0.00525423728813559</v>
      </c>
      <c r="AG121" s="0" t="n">
        <f aca="false">$B121/AG$1</f>
        <v>0.00508196721311475</v>
      </c>
      <c r="AH121" s="0" t="n">
        <f aca="false">$B121/AH$1</f>
        <v>0.00492063492063492</v>
      </c>
      <c r="AI121" s="0" t="n">
        <f aca="false">$B121/AI$1</f>
        <v>0.00476923076923077</v>
      </c>
      <c r="AJ121" s="0" t="n">
        <f aca="false">$B121/AJ$1</f>
        <v>0.00462686567164179</v>
      </c>
      <c r="AK121" s="0" t="n">
        <f aca="false">$B121/AK$1</f>
        <v>0.00449275362318841</v>
      </c>
      <c r="AL121" s="0" t="n">
        <f aca="false">$B121/AL$1</f>
        <v>0.00436619718309859</v>
      </c>
      <c r="AM121" s="0" t="n">
        <f aca="false">$B121/AM$1</f>
        <v>0.00424657534246575</v>
      </c>
      <c r="AN121" s="0" t="n">
        <f aca="false">$B121/AN$1</f>
        <v>0.00413333333333333</v>
      </c>
      <c r="AO121" s="0" t="n">
        <f aca="false">$B121/AO$1</f>
        <v>0.00402597402597403</v>
      </c>
      <c r="AP121" s="0" t="n">
        <f aca="false">$B121/AP$1</f>
        <v>0.00392405063291139</v>
      </c>
      <c r="AQ121" s="0" t="n">
        <f aca="false">$B121/AQ$1</f>
        <v>0.00382716049382716</v>
      </c>
      <c r="AR121" s="0" t="n">
        <f aca="false">$B121/AR$1</f>
        <v>0.00373493975903614</v>
      </c>
      <c r="AS121" s="0" t="n">
        <f aca="false">$B121/AS$1</f>
        <v>0.00364705882352941</v>
      </c>
      <c r="AT121" s="0" t="n">
        <f aca="false">$B121/AT$1</f>
        <v>0.0035632183908046</v>
      </c>
      <c r="AU121" s="0" t="n">
        <f aca="false">$B121/AU$1</f>
        <v>0.00348314606741573</v>
      </c>
      <c r="AV121" s="0" t="n">
        <f aca="false">$B121/AV$1</f>
        <v>0.00340659340659341</v>
      </c>
      <c r="AW121" s="0" t="n">
        <f aca="false">$B121/AW$1</f>
        <v>0.00333333333333333</v>
      </c>
      <c r="AX121" s="0" t="n">
        <f aca="false">$B121/AX$1</f>
        <v>0.00326315789473684</v>
      </c>
      <c r="AY121" s="0" t="n">
        <f aca="false">$B121/AY$1</f>
        <v>0.00319587628865979</v>
      </c>
      <c r="AZ121" s="0" t="n">
        <f aca="false">$B121/AZ$1</f>
        <v>0.00313131313131313</v>
      </c>
      <c r="BA121" s="0" t="n">
        <f aca="false">$B121/BA$1</f>
        <v>0.00306930693069307</v>
      </c>
      <c r="BB121" s="0" t="n">
        <f aca="false">$B121/BB$1</f>
        <v>0.00300970873786408</v>
      </c>
      <c r="BC121" s="0" t="n">
        <f aca="false">$B121/BC$1</f>
        <v>0.00295238095238095</v>
      </c>
      <c r="BD121" s="0" t="n">
        <f aca="false">$B121/BD$1</f>
        <v>0.00289719626168224</v>
      </c>
      <c r="BE121" s="0" t="n">
        <f aca="false">$B121/BE$1</f>
        <v>0.00284403669724771</v>
      </c>
      <c r="BF121" s="0" t="n">
        <f aca="false">$B121/BF$1</f>
        <v>0.00279279279279279</v>
      </c>
      <c r="BG121" s="0" t="n">
        <f aca="false">$B121/BG$1</f>
        <v>0.00274336283185841</v>
      </c>
      <c r="BH121" s="0" t="n">
        <f aca="false">$B121/BH$1</f>
        <v>0.00269565217391304</v>
      </c>
      <c r="BI121" s="0" t="n">
        <f aca="false">$B121/BI$1</f>
        <v>0.00264957264957265</v>
      </c>
      <c r="BJ121" s="0" t="n">
        <f aca="false">$B121/BJ$1</f>
        <v>0.00260504201680672</v>
      </c>
      <c r="BL121" s="0" t="n">
        <f aca="false">IF($B$120=1,COUNTIF(C121:BJ121,"&gt;="&amp;$C$120),0)</f>
        <v>40</v>
      </c>
      <c r="BM121" s="0" t="n">
        <f aca="false">IF($B$120=1,IF(OR(BS121&gt;=Settings!$B$5,Settings!$C$14&gt;0),MAX(BL121,Settings!$C$14),0),0)</f>
        <v>40</v>
      </c>
      <c r="BN121" s="0" t="n">
        <f aca="false">IF($B$120=1,IF(OR(BS121&gt;=Settings!$B$5,Settings!$C$14&gt;0),MAX(0,(2*MAX(BL121,Settings!$C$14)+1)*$C$120-BS121),MAX(0,Settings!$B$5-BS121)),"")</f>
        <v>0.00715492957746478</v>
      </c>
      <c r="BO121" s="0" t="n">
        <f aca="false">IF($B$120=1,IF(OR(BS121&gt;=Settings!$B$5,Settings!$C$14&gt;0),IF(BL121&lt;=Settings!$C$14,"Protected by electorates",IF(Settings!$C$14=0,MIN(BS121-(2*BL121-1)*$D$120,BS121-Settings!$B$5),BS121-(2*BL121-1)*$D$120)),""),"")</f>
        <v>0.00647368421052635</v>
      </c>
      <c r="BP121" s="0" t="n">
        <f aca="false">IF($B$120=1,IF(OR(BS121&gt;=Settings!$B$5,Settings!$C$14&gt;0),MAX(0,MIN(1,(BS121/$C$120-(2*MAX(BL121,Settings!$C$14)-1))/2)),MIN(1,BS121/Settings!$B$5)),"")</f>
        <v>0.0863309352517945</v>
      </c>
      <c r="BQ121" s="0" t="n">
        <f aca="false">IF(AND($B$120=1,COUNTIF(C121:BJ121,$C$120)&gt;0),1,0)</f>
        <v>0</v>
      </c>
      <c r="BR121" s="0" t="n">
        <f aca="false">IF(AND($B$120=1,COUNTIF(C121:BJ121,$D$120)&gt;0),1,0)</f>
        <v>0</v>
      </c>
      <c r="BS121" s="0" t="n">
        <f aca="false">N(IF(Polls!H19="",Polls!H37,Polls!H19))</f>
        <v>0.31</v>
      </c>
      <c r="BT121" s="0" t="str">
        <f aca="false">IF(OR(BS121&gt;=Settings!$B$5,Settings!$C$14&gt;0),"Next seat","Threshold")</f>
        <v>Next seat</v>
      </c>
    </row>
    <row r="122" customFormat="false" ht="15" hidden="false" customHeight="false" outlineLevel="0" collapsed="false">
      <c r="A122" s="0" t="s">
        <v>43</v>
      </c>
      <c r="B122" s="0" t="n">
        <f aca="false">IF(OR(BS122&gt;=Settings!$B$5,Settings!$C$15&gt;0),BS122,0)</f>
        <v>0.278</v>
      </c>
      <c r="C122" s="0" t="n">
        <f aca="false">$B122/C$1</f>
        <v>0.278</v>
      </c>
      <c r="D122" s="0" t="n">
        <f aca="false">$B122/D$1</f>
        <v>0.0926666666666667</v>
      </c>
      <c r="E122" s="0" t="n">
        <f aca="false">$B122/E$1</f>
        <v>0.0556</v>
      </c>
      <c r="F122" s="0" t="n">
        <f aca="false">$B122/F$1</f>
        <v>0.0397142857142857</v>
      </c>
      <c r="G122" s="0" t="n">
        <f aca="false">$B122/G$1</f>
        <v>0.0308888888888889</v>
      </c>
      <c r="H122" s="0" t="n">
        <f aca="false">$B122/H$1</f>
        <v>0.0252727272727273</v>
      </c>
      <c r="I122" s="0" t="n">
        <f aca="false">$B122/I$1</f>
        <v>0.0213846153846154</v>
      </c>
      <c r="J122" s="0" t="n">
        <f aca="false">$B122/J$1</f>
        <v>0.0185333333333333</v>
      </c>
      <c r="K122" s="0" t="n">
        <f aca="false">$B122/K$1</f>
        <v>0.0163529411764706</v>
      </c>
      <c r="L122" s="0" t="n">
        <f aca="false">$B122/L$1</f>
        <v>0.0146315789473684</v>
      </c>
      <c r="M122" s="0" t="n">
        <f aca="false">$B122/M$1</f>
        <v>0.0132380952380952</v>
      </c>
      <c r="N122" s="0" t="n">
        <f aca="false">$B122/N$1</f>
        <v>0.0120869565217391</v>
      </c>
      <c r="O122" s="0" t="n">
        <f aca="false">$B122/O$1</f>
        <v>0.01112</v>
      </c>
      <c r="P122" s="0" t="n">
        <f aca="false">$B122/P$1</f>
        <v>0.0102962962962963</v>
      </c>
      <c r="Q122" s="0" t="n">
        <f aca="false">$B122/Q$1</f>
        <v>0.00958620689655173</v>
      </c>
      <c r="R122" s="0" t="n">
        <f aca="false">$B122/R$1</f>
        <v>0.00896774193548387</v>
      </c>
      <c r="S122" s="0" t="n">
        <f aca="false">$B122/S$1</f>
        <v>0.00842424242424242</v>
      </c>
      <c r="T122" s="0" t="n">
        <f aca="false">$B122/T$1</f>
        <v>0.00794285714285714</v>
      </c>
      <c r="U122" s="0" t="n">
        <f aca="false">$B122/U$1</f>
        <v>0.00751351351351351</v>
      </c>
      <c r="V122" s="0" t="n">
        <f aca="false">$B122/V$1</f>
        <v>0.00712820512820513</v>
      </c>
      <c r="W122" s="0" t="n">
        <f aca="false">$B122/W$1</f>
        <v>0.00678048780487805</v>
      </c>
      <c r="X122" s="0" t="n">
        <f aca="false">$B122/X$1</f>
        <v>0.00646511627906977</v>
      </c>
      <c r="Y122" s="0" t="n">
        <f aca="false">$B122/Y$1</f>
        <v>0.00617777777777778</v>
      </c>
      <c r="Z122" s="0" t="n">
        <f aca="false">$B122/Z$1</f>
        <v>0.00591489361702128</v>
      </c>
      <c r="AA122" s="0" t="n">
        <f aca="false">$B122/AA$1</f>
        <v>0.0056734693877551</v>
      </c>
      <c r="AB122" s="0" t="n">
        <f aca="false">$B122/AB$1</f>
        <v>0.00545098039215686</v>
      </c>
      <c r="AC122" s="0" t="n">
        <f aca="false">$B122/AC$1</f>
        <v>0.00524528301886793</v>
      </c>
      <c r="AD122" s="0" t="n">
        <f aca="false">$B122/AD$1</f>
        <v>0.00505454545454546</v>
      </c>
      <c r="AE122" s="0" t="n">
        <f aca="false">$B122/AE$1</f>
        <v>0.00487719298245614</v>
      </c>
      <c r="AF122" s="0" t="n">
        <f aca="false">$B122/AF$1</f>
        <v>0.00471186440677966</v>
      </c>
      <c r="AG122" s="0" t="n">
        <f aca="false">$B122/AG$1</f>
        <v>0.00455737704918033</v>
      </c>
      <c r="AH122" s="0" t="n">
        <f aca="false">$B122/AH$1</f>
        <v>0.00441269841269841</v>
      </c>
      <c r="AI122" s="0" t="n">
        <f aca="false">$B122/AI$1</f>
        <v>0.00427692307692308</v>
      </c>
      <c r="AJ122" s="0" t="n">
        <f aca="false">$B122/AJ$1</f>
        <v>0.00414925373134328</v>
      </c>
      <c r="AK122" s="0" t="n">
        <f aca="false">$B122/AK$1</f>
        <v>0.00402898550724638</v>
      </c>
      <c r="AL122" s="0" t="n">
        <f aca="false">$B122/AL$1</f>
        <v>0.00391549295774648</v>
      </c>
      <c r="AM122" s="0" t="n">
        <f aca="false">$B122/AM$1</f>
        <v>0.00380821917808219</v>
      </c>
      <c r="AN122" s="0" t="n">
        <f aca="false">$B122/AN$1</f>
        <v>0.00370666666666667</v>
      </c>
      <c r="AO122" s="0" t="n">
        <f aca="false">$B122/AO$1</f>
        <v>0.00361038961038961</v>
      </c>
      <c r="AP122" s="0" t="n">
        <f aca="false">$B122/AP$1</f>
        <v>0.00351898734177215</v>
      </c>
      <c r="AQ122" s="0" t="n">
        <f aca="false">$B122/AQ$1</f>
        <v>0.0034320987654321</v>
      </c>
      <c r="AR122" s="0" t="n">
        <f aca="false">$B122/AR$1</f>
        <v>0.00334939759036145</v>
      </c>
      <c r="AS122" s="0" t="n">
        <f aca="false">$B122/AS$1</f>
        <v>0.00327058823529412</v>
      </c>
      <c r="AT122" s="0" t="n">
        <f aca="false">$B122/AT$1</f>
        <v>0.00319540229885058</v>
      </c>
      <c r="AU122" s="0" t="n">
        <f aca="false">$B122/AU$1</f>
        <v>0.00312359550561798</v>
      </c>
      <c r="AV122" s="0" t="n">
        <f aca="false">$B122/AV$1</f>
        <v>0.00305494505494506</v>
      </c>
      <c r="AW122" s="0" t="n">
        <f aca="false">$B122/AW$1</f>
        <v>0.00298924731182796</v>
      </c>
      <c r="AX122" s="0" t="n">
        <f aca="false">$B122/AX$1</f>
        <v>0.00292631578947368</v>
      </c>
      <c r="AY122" s="0" t="n">
        <f aca="false">$B122/AY$1</f>
        <v>0.0028659793814433</v>
      </c>
      <c r="AZ122" s="0" t="n">
        <f aca="false">$B122/AZ$1</f>
        <v>0.00280808080808081</v>
      </c>
      <c r="BA122" s="0" t="n">
        <f aca="false">$B122/BA$1</f>
        <v>0.00275247524752475</v>
      </c>
      <c r="BB122" s="0" t="n">
        <f aca="false">$B122/BB$1</f>
        <v>0.00269902912621359</v>
      </c>
      <c r="BC122" s="0" t="n">
        <f aca="false">$B122/BC$1</f>
        <v>0.00264761904761905</v>
      </c>
      <c r="BD122" s="0" t="n">
        <f aca="false">$B122/BD$1</f>
        <v>0.0025981308411215</v>
      </c>
      <c r="BE122" s="0" t="n">
        <f aca="false">$B122/BE$1</f>
        <v>0.00255045871559633</v>
      </c>
      <c r="BF122" s="0" t="n">
        <f aca="false">$B122/BF$1</f>
        <v>0.00250450450450451</v>
      </c>
      <c r="BG122" s="0" t="n">
        <f aca="false">$B122/BG$1</f>
        <v>0.00246017699115044</v>
      </c>
      <c r="BH122" s="0" t="n">
        <f aca="false">$B122/BH$1</f>
        <v>0.00241739130434783</v>
      </c>
      <c r="BI122" s="0" t="n">
        <f aca="false">$B122/BI$1</f>
        <v>0.00237606837606838</v>
      </c>
      <c r="BJ122" s="0" t="n">
        <f aca="false">$B122/BJ$1</f>
        <v>0.00233613445378151</v>
      </c>
      <c r="BL122" s="0" t="n">
        <f aca="false">IF($B$120=1,COUNTIF(C122:BJ122,"&gt;="&amp;$C$120),0)</f>
        <v>36</v>
      </c>
      <c r="BM122" s="0" t="n">
        <f aca="false">IF($B$120=1,IF(OR(BS122&gt;=Settings!$B$5,Settings!$C$15&gt;0),MAX(BL122,Settings!$C$15),0),0)</f>
        <v>36</v>
      </c>
      <c r="BN122" s="0" t="n">
        <f aca="false">IF($B$120=1,IF(OR(BS122&gt;=Settings!$B$5,Settings!$C$15&gt;0),MAX(0,(2*MAX(BL122,Settings!$C$15)+1)*$C$120-BS122),MAX(0,Settings!$B$5-BS122)),"")</f>
        <v>0.00783098591549292</v>
      </c>
      <c r="BO122" s="0" t="n">
        <f aca="false">IF($B$120=1,IF(OR(BS122&gt;=Settings!$B$5,Settings!$C$15&gt;0),IF(BL122&lt;=Settings!$C$15,"Protected by electorates",IF(Settings!$C$15=0,MIN(BS122-(2*BL122-1)*$D$120,BS122-Settings!$B$5),BS122-(2*BL122-1)*$D$120)),""),"")</f>
        <v>0.0052105263157895</v>
      </c>
      <c r="BP122" s="0" t="n">
        <f aca="false">IF($B$120=1,IF(OR(BS122&gt;=Settings!$B$5,Settings!$C$15&gt;0),MAX(0,MIN(1,(BS122/$C$120-(2*MAX(BL122,Settings!$C$15)-1))/2)),MIN(1,BS122/Settings!$B$5)),"")</f>
        <v>0</v>
      </c>
      <c r="BQ122" s="0" t="n">
        <f aca="false">IF(AND($B$120=1,COUNTIF(C122:BJ122,$C$120)&gt;0),1,0)</f>
        <v>1</v>
      </c>
      <c r="BR122" s="0" t="n">
        <f aca="false">IF(AND($B$120=1,COUNTIF(C122:BJ122,$D$120)&gt;0),1,0)</f>
        <v>0</v>
      </c>
      <c r="BS122" s="0" t="n">
        <f aca="false">N(IF(Polls!I19="",Polls!I37,Polls!I19))</f>
        <v>0.278</v>
      </c>
      <c r="BT122" s="0" t="str">
        <f aca="false">IF(OR(BS122&gt;=Settings!$B$5,Settings!$C$15&gt;0),"Next seat","Threshold")</f>
        <v>Next seat</v>
      </c>
    </row>
    <row r="123" customFormat="false" ht="15" hidden="false" customHeight="false" outlineLevel="0" collapsed="false">
      <c r="A123" s="0" t="s">
        <v>45</v>
      </c>
      <c r="B123" s="0" t="n">
        <f aca="false">IF(OR(BS123&gt;=Settings!$B$5,Settings!$C$16&gt;0),BS123,0)</f>
        <v>0.101</v>
      </c>
      <c r="C123" s="0" t="n">
        <f aca="false">$B123/C$1</f>
        <v>0.101</v>
      </c>
      <c r="D123" s="0" t="n">
        <f aca="false">$B123/D$1</f>
        <v>0.0336666666666667</v>
      </c>
      <c r="E123" s="0" t="n">
        <f aca="false">$B123/E$1</f>
        <v>0.0202</v>
      </c>
      <c r="F123" s="0" t="n">
        <f aca="false">$B123/F$1</f>
        <v>0.0144285714285714</v>
      </c>
      <c r="G123" s="0" t="n">
        <f aca="false">$B123/G$1</f>
        <v>0.0112222222222222</v>
      </c>
      <c r="H123" s="0" t="n">
        <f aca="false">$B123/H$1</f>
        <v>0.00918181818181818</v>
      </c>
      <c r="I123" s="0" t="n">
        <f aca="false">$B123/I$1</f>
        <v>0.00776923076923077</v>
      </c>
      <c r="J123" s="0" t="n">
        <f aca="false">$B123/J$1</f>
        <v>0.00673333333333333</v>
      </c>
      <c r="K123" s="0" t="n">
        <f aca="false">$B123/K$1</f>
        <v>0.00594117647058824</v>
      </c>
      <c r="L123" s="0" t="n">
        <f aca="false">$B123/L$1</f>
        <v>0.00531578947368421</v>
      </c>
      <c r="M123" s="0" t="n">
        <f aca="false">$B123/M$1</f>
        <v>0.00480952380952381</v>
      </c>
      <c r="N123" s="0" t="n">
        <f aca="false">$B123/N$1</f>
        <v>0.00439130434782609</v>
      </c>
      <c r="O123" s="0" t="n">
        <f aca="false">$B123/O$1</f>
        <v>0.00404</v>
      </c>
      <c r="P123" s="0" t="n">
        <f aca="false">$B123/P$1</f>
        <v>0.00374074074074074</v>
      </c>
      <c r="Q123" s="0" t="n">
        <f aca="false">$B123/Q$1</f>
        <v>0.00348275862068966</v>
      </c>
      <c r="R123" s="0" t="n">
        <f aca="false">$B123/R$1</f>
        <v>0.00325806451612903</v>
      </c>
      <c r="S123" s="0" t="n">
        <f aca="false">$B123/S$1</f>
        <v>0.00306060606060606</v>
      </c>
      <c r="T123" s="0" t="n">
        <f aca="false">$B123/T$1</f>
        <v>0.00288571428571429</v>
      </c>
      <c r="U123" s="0" t="n">
        <f aca="false">$B123/U$1</f>
        <v>0.00272972972972973</v>
      </c>
      <c r="V123" s="0" t="n">
        <f aca="false">$B123/V$1</f>
        <v>0.00258974358974359</v>
      </c>
      <c r="W123" s="0" t="n">
        <f aca="false">$B123/W$1</f>
        <v>0.00246341463414634</v>
      </c>
      <c r="X123" s="0" t="n">
        <f aca="false">$B123/X$1</f>
        <v>0.00234883720930233</v>
      </c>
      <c r="Y123" s="0" t="n">
        <f aca="false">$B123/Y$1</f>
        <v>0.00224444444444444</v>
      </c>
      <c r="Z123" s="0" t="n">
        <f aca="false">$B123/Z$1</f>
        <v>0.00214893617021277</v>
      </c>
      <c r="AA123" s="0" t="n">
        <f aca="false">$B123/AA$1</f>
        <v>0.00206122448979592</v>
      </c>
      <c r="AB123" s="0" t="n">
        <f aca="false">$B123/AB$1</f>
        <v>0.00198039215686275</v>
      </c>
      <c r="AC123" s="0" t="n">
        <f aca="false">$B123/AC$1</f>
        <v>0.00190566037735849</v>
      </c>
      <c r="AD123" s="0" t="n">
        <f aca="false">$B123/AD$1</f>
        <v>0.00183636363636364</v>
      </c>
      <c r="AE123" s="0" t="n">
        <f aca="false">$B123/AE$1</f>
        <v>0.0017719298245614</v>
      </c>
      <c r="AF123" s="0" t="n">
        <f aca="false">$B123/AF$1</f>
        <v>0.00171186440677966</v>
      </c>
      <c r="AG123" s="0" t="n">
        <f aca="false">$B123/AG$1</f>
        <v>0.00165573770491803</v>
      </c>
      <c r="AH123" s="0" t="n">
        <f aca="false">$B123/AH$1</f>
        <v>0.0016031746031746</v>
      </c>
      <c r="AI123" s="0" t="n">
        <f aca="false">$B123/AI$1</f>
        <v>0.00155384615384615</v>
      </c>
      <c r="AJ123" s="0" t="n">
        <f aca="false">$B123/AJ$1</f>
        <v>0.00150746268656716</v>
      </c>
      <c r="AK123" s="0" t="n">
        <f aca="false">$B123/AK$1</f>
        <v>0.00146376811594203</v>
      </c>
      <c r="AL123" s="0" t="n">
        <f aca="false">$B123/AL$1</f>
        <v>0.00142253521126761</v>
      </c>
      <c r="AM123" s="0" t="n">
        <f aca="false">$B123/AM$1</f>
        <v>0.00138356164383562</v>
      </c>
      <c r="AN123" s="0" t="n">
        <f aca="false">$B123/AN$1</f>
        <v>0.00134666666666667</v>
      </c>
      <c r="AO123" s="0" t="n">
        <f aca="false">$B123/AO$1</f>
        <v>0.00131168831168831</v>
      </c>
      <c r="AP123" s="0" t="n">
        <f aca="false">$B123/AP$1</f>
        <v>0.00127848101265823</v>
      </c>
      <c r="AQ123" s="0" t="n">
        <f aca="false">$B123/AQ$1</f>
        <v>0.00124691358024691</v>
      </c>
      <c r="AR123" s="0" t="n">
        <f aca="false">$B123/AR$1</f>
        <v>0.00121686746987952</v>
      </c>
      <c r="AS123" s="0" t="n">
        <f aca="false">$B123/AS$1</f>
        <v>0.00118823529411765</v>
      </c>
      <c r="AT123" s="0" t="n">
        <f aca="false">$B123/AT$1</f>
        <v>0.00116091954022989</v>
      </c>
      <c r="AU123" s="0" t="n">
        <f aca="false">$B123/AU$1</f>
        <v>0.00113483146067416</v>
      </c>
      <c r="AV123" s="0" t="n">
        <f aca="false">$B123/AV$1</f>
        <v>0.00110989010989011</v>
      </c>
      <c r="AW123" s="0" t="n">
        <f aca="false">$B123/AW$1</f>
        <v>0.00108602150537634</v>
      </c>
      <c r="AX123" s="0" t="n">
        <f aca="false">$B123/AX$1</f>
        <v>0.00106315789473684</v>
      </c>
      <c r="AY123" s="0" t="n">
        <f aca="false">$B123/AY$1</f>
        <v>0.00104123711340206</v>
      </c>
      <c r="AZ123" s="0" t="n">
        <f aca="false">$B123/AZ$1</f>
        <v>0.00102020202020202</v>
      </c>
      <c r="BA123" s="0" t="n">
        <f aca="false">$B123/BA$1</f>
        <v>0.001</v>
      </c>
      <c r="BB123" s="0" t="n">
        <f aca="false">$B123/BB$1</f>
        <v>0.000980582524271845</v>
      </c>
      <c r="BC123" s="0" t="n">
        <f aca="false">$B123/BC$1</f>
        <v>0.000961904761904762</v>
      </c>
      <c r="BD123" s="0" t="n">
        <f aca="false">$B123/BD$1</f>
        <v>0.00094392523364486</v>
      </c>
      <c r="BE123" s="0" t="n">
        <f aca="false">$B123/BE$1</f>
        <v>0.000926605504587156</v>
      </c>
      <c r="BF123" s="0" t="n">
        <f aca="false">$B123/BF$1</f>
        <v>0.00090990990990991</v>
      </c>
      <c r="BG123" s="0" t="n">
        <f aca="false">$B123/BG$1</f>
        <v>0.000893805309734513</v>
      </c>
      <c r="BH123" s="0" t="n">
        <f aca="false">$B123/BH$1</f>
        <v>0.000878260869565217</v>
      </c>
      <c r="BI123" s="0" t="n">
        <f aca="false">$B123/BI$1</f>
        <v>0.000863247863247863</v>
      </c>
      <c r="BJ123" s="0" t="n">
        <f aca="false">$B123/BJ$1</f>
        <v>0.000848739495798319</v>
      </c>
      <c r="BL123" s="0" t="n">
        <f aca="false">IF($B$120=1,COUNTIF(C123:BJ123,"&gt;="&amp;$C$120),0)</f>
        <v>13</v>
      </c>
      <c r="BM123" s="0" t="n">
        <f aca="false">IF($B$120=1,IF(OR(BS123&gt;=Settings!$B$5,Settings!$C$16&gt;0),MAX(BL123,Settings!$C$16),0),0)</f>
        <v>13</v>
      </c>
      <c r="BN123" s="0" t="n">
        <f aca="false">IF($B$120=1,IF(OR(BS123&gt;=Settings!$B$5,Settings!$C$16&gt;0),MAX(0,(2*MAX(BL123,Settings!$C$16)+1)*$C$120-BS123),MAX(0,Settings!$B$5-BS123)),"")</f>
        <v>0.00471830985915492</v>
      </c>
      <c r="BO123" s="0" t="n">
        <f aca="false">IF($B$120=1,IF(OR(BS123&gt;=Settings!$B$5,Settings!$C$16&gt;0),IF(BL123&lt;=Settings!$C$16,"Protected by electorates",IF(Settings!$C$16=0,MIN(BS123-(2*BL123-1)*$D$120,BS123-Settings!$B$5),BS123-(2*BL123-1)*$D$120)),""),"")</f>
        <v>0.00494736842105265</v>
      </c>
      <c r="BP123" s="0" t="n">
        <f aca="false">IF($B$120=1,IF(OR(BS123&gt;=Settings!$B$5,Settings!$C$16&gt;0),MAX(0,MIN(1,(BS123/$C$120-(2*MAX(BL123,Settings!$C$16)-1))/2)),MIN(1,BS123/Settings!$B$5)),"")</f>
        <v>0.397482014388491</v>
      </c>
      <c r="BQ123" s="0" t="n">
        <f aca="false">IF(AND($B$120=1,COUNTIF(C123:BJ123,$C$120)&gt;0),1,0)</f>
        <v>0</v>
      </c>
      <c r="BR123" s="0" t="n">
        <f aca="false">IF(AND($B$120=1,COUNTIF(C123:BJ123,$D$120)&gt;0),1,0)</f>
        <v>0</v>
      </c>
      <c r="BS123" s="0" t="n">
        <f aca="false">N(IF(Polls!J19="",Polls!J37,Polls!J19))</f>
        <v>0.101</v>
      </c>
      <c r="BT123" s="0" t="str">
        <f aca="false">IF(OR(BS123&gt;=Settings!$B$5,Settings!$C$16&gt;0),"Next seat","Threshold")</f>
        <v>Next seat</v>
      </c>
    </row>
    <row r="124" customFormat="false" ht="15" hidden="false" customHeight="false" outlineLevel="0" collapsed="false">
      <c r="A124" s="0" t="s">
        <v>46</v>
      </c>
      <c r="B124" s="0" t="n">
        <f aca="false">IF(OR(BS124&gt;=Settings!$B$5,Settings!$C$17&gt;0),BS124,0)</f>
        <v>0.073</v>
      </c>
      <c r="C124" s="0" t="n">
        <f aca="false">$B124/C$1</f>
        <v>0.073</v>
      </c>
      <c r="D124" s="0" t="n">
        <f aca="false">$B124/D$1</f>
        <v>0.0243333333333333</v>
      </c>
      <c r="E124" s="0" t="n">
        <f aca="false">$B124/E$1</f>
        <v>0.0146</v>
      </c>
      <c r="F124" s="0" t="n">
        <f aca="false">$B124/F$1</f>
        <v>0.0104285714285714</v>
      </c>
      <c r="G124" s="0" t="n">
        <f aca="false">$B124/G$1</f>
        <v>0.00811111111111111</v>
      </c>
      <c r="H124" s="0" t="n">
        <f aca="false">$B124/H$1</f>
        <v>0.00663636363636364</v>
      </c>
      <c r="I124" s="0" t="n">
        <f aca="false">$B124/I$1</f>
        <v>0.00561538461538462</v>
      </c>
      <c r="J124" s="0" t="n">
        <f aca="false">$B124/J$1</f>
        <v>0.00486666666666667</v>
      </c>
      <c r="K124" s="0" t="n">
        <f aca="false">$B124/K$1</f>
        <v>0.00429411764705882</v>
      </c>
      <c r="L124" s="0" t="n">
        <f aca="false">$B124/L$1</f>
        <v>0.00384210526315789</v>
      </c>
      <c r="M124" s="0" t="n">
        <f aca="false">$B124/M$1</f>
        <v>0.00347619047619048</v>
      </c>
      <c r="N124" s="0" t="n">
        <f aca="false">$B124/N$1</f>
        <v>0.00317391304347826</v>
      </c>
      <c r="O124" s="0" t="n">
        <f aca="false">$B124/O$1</f>
        <v>0.00292</v>
      </c>
      <c r="P124" s="0" t="n">
        <f aca="false">$B124/P$1</f>
        <v>0.0027037037037037</v>
      </c>
      <c r="Q124" s="0" t="n">
        <f aca="false">$B124/Q$1</f>
        <v>0.00251724137931034</v>
      </c>
      <c r="R124" s="0" t="n">
        <f aca="false">$B124/R$1</f>
        <v>0.00235483870967742</v>
      </c>
      <c r="S124" s="0" t="n">
        <f aca="false">$B124/S$1</f>
        <v>0.00221212121212121</v>
      </c>
      <c r="T124" s="0" t="n">
        <f aca="false">$B124/T$1</f>
        <v>0.00208571428571429</v>
      </c>
      <c r="U124" s="0" t="n">
        <f aca="false">$B124/U$1</f>
        <v>0.00197297297297297</v>
      </c>
      <c r="V124" s="0" t="n">
        <f aca="false">$B124/V$1</f>
        <v>0.00187179487179487</v>
      </c>
      <c r="W124" s="0" t="n">
        <f aca="false">$B124/W$1</f>
        <v>0.00178048780487805</v>
      </c>
      <c r="X124" s="0" t="n">
        <f aca="false">$B124/X$1</f>
        <v>0.00169767441860465</v>
      </c>
      <c r="Y124" s="0" t="n">
        <f aca="false">$B124/Y$1</f>
        <v>0.00162222222222222</v>
      </c>
      <c r="Z124" s="0" t="n">
        <f aca="false">$B124/Z$1</f>
        <v>0.0015531914893617</v>
      </c>
      <c r="AA124" s="0" t="n">
        <f aca="false">$B124/AA$1</f>
        <v>0.00148979591836735</v>
      </c>
      <c r="AB124" s="0" t="n">
        <f aca="false">$B124/AB$1</f>
        <v>0.00143137254901961</v>
      </c>
      <c r="AC124" s="0" t="n">
        <f aca="false">$B124/AC$1</f>
        <v>0.00137735849056604</v>
      </c>
      <c r="AD124" s="0" t="n">
        <f aca="false">$B124/AD$1</f>
        <v>0.00132727272727273</v>
      </c>
      <c r="AE124" s="0" t="n">
        <f aca="false">$B124/AE$1</f>
        <v>0.00128070175438597</v>
      </c>
      <c r="AF124" s="0" t="n">
        <f aca="false">$B124/AF$1</f>
        <v>0.00123728813559322</v>
      </c>
      <c r="AG124" s="0" t="n">
        <f aca="false">$B124/AG$1</f>
        <v>0.00119672131147541</v>
      </c>
      <c r="AH124" s="0" t="n">
        <f aca="false">$B124/AH$1</f>
        <v>0.00115873015873016</v>
      </c>
      <c r="AI124" s="0" t="n">
        <f aca="false">$B124/AI$1</f>
        <v>0.00112307692307692</v>
      </c>
      <c r="AJ124" s="0" t="n">
        <f aca="false">$B124/AJ$1</f>
        <v>0.00108955223880597</v>
      </c>
      <c r="AK124" s="0" t="n">
        <f aca="false">$B124/AK$1</f>
        <v>0.00105797101449275</v>
      </c>
      <c r="AL124" s="0" t="n">
        <f aca="false">$B124/AL$1</f>
        <v>0.00102816901408451</v>
      </c>
      <c r="AM124" s="0" t="n">
        <f aca="false">$B124/AM$1</f>
        <v>0.001</v>
      </c>
      <c r="AN124" s="0" t="n">
        <f aca="false">$B124/AN$1</f>
        <v>0.000973333333333333</v>
      </c>
      <c r="AO124" s="0" t="n">
        <f aca="false">$B124/AO$1</f>
        <v>0.000948051948051948</v>
      </c>
      <c r="AP124" s="0" t="n">
        <f aca="false">$B124/AP$1</f>
        <v>0.000924050632911392</v>
      </c>
      <c r="AQ124" s="0" t="n">
        <f aca="false">$B124/AQ$1</f>
        <v>0.000901234567901235</v>
      </c>
      <c r="AR124" s="0" t="n">
        <f aca="false">$B124/AR$1</f>
        <v>0.000879518072289157</v>
      </c>
      <c r="AS124" s="0" t="n">
        <f aca="false">$B124/AS$1</f>
        <v>0.000858823529411765</v>
      </c>
      <c r="AT124" s="0" t="n">
        <f aca="false">$B124/AT$1</f>
        <v>0.000839080459770115</v>
      </c>
      <c r="AU124" s="0" t="n">
        <f aca="false">$B124/AU$1</f>
        <v>0.000820224719101124</v>
      </c>
      <c r="AV124" s="0" t="n">
        <f aca="false">$B124/AV$1</f>
        <v>0.000802197802197802</v>
      </c>
      <c r="AW124" s="0" t="n">
        <f aca="false">$B124/AW$1</f>
        <v>0.00078494623655914</v>
      </c>
      <c r="AX124" s="0" t="n">
        <f aca="false">$B124/AX$1</f>
        <v>0.000768421052631579</v>
      </c>
      <c r="AY124" s="0" t="n">
        <f aca="false">$B124/AY$1</f>
        <v>0.000752577319587629</v>
      </c>
      <c r="AZ124" s="0" t="n">
        <f aca="false">$B124/AZ$1</f>
        <v>0.000737373737373737</v>
      </c>
      <c r="BA124" s="0" t="n">
        <f aca="false">$B124/BA$1</f>
        <v>0.000722772277227723</v>
      </c>
      <c r="BB124" s="0" t="n">
        <f aca="false">$B124/BB$1</f>
        <v>0.00070873786407767</v>
      </c>
      <c r="BC124" s="0" t="n">
        <f aca="false">$B124/BC$1</f>
        <v>0.000695238095238095</v>
      </c>
      <c r="BD124" s="0" t="n">
        <f aca="false">$B124/BD$1</f>
        <v>0.000682242990654206</v>
      </c>
      <c r="BE124" s="0" t="n">
        <f aca="false">$B124/BE$1</f>
        <v>0.000669724770642202</v>
      </c>
      <c r="BF124" s="0" t="n">
        <f aca="false">$B124/BF$1</f>
        <v>0.000657657657657658</v>
      </c>
      <c r="BG124" s="0" t="n">
        <f aca="false">$B124/BG$1</f>
        <v>0.000646017699115044</v>
      </c>
      <c r="BH124" s="0" t="n">
        <f aca="false">$B124/BH$1</f>
        <v>0.000634782608695652</v>
      </c>
      <c r="BI124" s="0" t="n">
        <f aca="false">$B124/BI$1</f>
        <v>0.000623931623931624</v>
      </c>
      <c r="BJ124" s="0" t="n">
        <f aca="false">$B124/BJ$1</f>
        <v>0.00061344537815126</v>
      </c>
      <c r="BL124" s="0" t="n">
        <f aca="false">IF($B$120=1,COUNTIF(C124:BJ124,"&gt;="&amp;$C$120),0)</f>
        <v>9</v>
      </c>
      <c r="BM124" s="0" t="n">
        <f aca="false">IF($B$120=1,IF(OR(BS124&gt;=Settings!$B$5,Settings!$C$17&gt;0),MAX(BL124,Settings!$C$17),0),0)</f>
        <v>9</v>
      </c>
      <c r="BN124" s="0" t="n">
        <f aca="false">IF($B$120=1,IF(OR(BS124&gt;=Settings!$B$5,Settings!$C$17&gt;0),MAX(0,(2*MAX(BL124,Settings!$C$17)+1)*$C$120-BS124),MAX(0,Settings!$B$5-BS124)),"")</f>
        <v>0.0013943661971831</v>
      </c>
      <c r="BO124" s="0" t="n">
        <f aca="false">IF($B$120=1,IF(OR(BS124&gt;=Settings!$B$5,Settings!$C$17&gt;0),IF(BL124&lt;=Settings!$C$17,"Protected by electorates",IF(Settings!$C$17=0,MIN(BS124-(2*BL124-1)*$D$120,BS124-Settings!$B$5),BS124-(2*BL124-1)*$D$120)),""),"")</f>
        <v>0.00768421052631579</v>
      </c>
      <c r="BP124" s="0" t="n">
        <f aca="false">IF($B$120=1,IF(OR(BS124&gt;=Settings!$B$5,Settings!$C$17&gt;0),MAX(0,MIN(1,(BS124/$C$120-(2*MAX(BL124,Settings!$C$17)-1))/2)),MIN(1,BS124/Settings!$B$5)),"")</f>
        <v>0.821942446043165</v>
      </c>
      <c r="BQ124" s="0" t="n">
        <f aca="false">IF(AND($B$120=1,COUNTIF(C124:BJ124,$C$120)&gt;0),1,0)</f>
        <v>0</v>
      </c>
      <c r="BR124" s="0" t="n">
        <f aca="false">IF(AND($B$120=1,COUNTIF(C124:BJ124,$D$120)&gt;0),1,0)</f>
        <v>1</v>
      </c>
      <c r="BS124" s="0" t="n">
        <f aca="false">N(IF(Polls!K19="",Polls!K37,Polls!K19))</f>
        <v>0.073</v>
      </c>
      <c r="BT124" s="0" t="str">
        <f aca="false">IF(OR(BS124&gt;=Settings!$B$5,Settings!$C$17&gt;0),"Next seat","Threshold")</f>
        <v>Next seat</v>
      </c>
    </row>
    <row r="125" customFormat="false" ht="15" hidden="false" customHeight="false" outlineLevel="0" collapsed="false">
      <c r="A125" s="0" t="s">
        <v>48</v>
      </c>
      <c r="B125" s="0" t="n">
        <f aca="false">IF(OR(BS125&gt;=Settings!$B$5,Settings!$C$18&gt;0),BS125,0)</f>
        <v>0.091</v>
      </c>
      <c r="C125" s="0" t="n">
        <f aca="false">$B125/C$1</f>
        <v>0.091</v>
      </c>
      <c r="D125" s="0" t="n">
        <f aca="false">$B125/D$1</f>
        <v>0.0303333333333333</v>
      </c>
      <c r="E125" s="0" t="n">
        <f aca="false">$B125/E$1</f>
        <v>0.0182</v>
      </c>
      <c r="F125" s="0" t="n">
        <f aca="false">$B125/F$1</f>
        <v>0.013</v>
      </c>
      <c r="G125" s="0" t="n">
        <f aca="false">$B125/G$1</f>
        <v>0.0101111111111111</v>
      </c>
      <c r="H125" s="0" t="n">
        <f aca="false">$B125/H$1</f>
        <v>0.00827272727272727</v>
      </c>
      <c r="I125" s="0" t="n">
        <f aca="false">$B125/I$1</f>
        <v>0.007</v>
      </c>
      <c r="J125" s="0" t="n">
        <f aca="false">$B125/J$1</f>
        <v>0.00606666666666667</v>
      </c>
      <c r="K125" s="0" t="n">
        <f aca="false">$B125/K$1</f>
        <v>0.00535294117647059</v>
      </c>
      <c r="L125" s="0" t="n">
        <f aca="false">$B125/L$1</f>
        <v>0.00478947368421053</v>
      </c>
      <c r="M125" s="0" t="n">
        <f aca="false">$B125/M$1</f>
        <v>0.00433333333333333</v>
      </c>
      <c r="N125" s="0" t="n">
        <f aca="false">$B125/N$1</f>
        <v>0.00395652173913044</v>
      </c>
      <c r="O125" s="0" t="n">
        <f aca="false">$B125/O$1</f>
        <v>0.00364</v>
      </c>
      <c r="P125" s="0" t="n">
        <f aca="false">$B125/P$1</f>
        <v>0.00337037037037037</v>
      </c>
      <c r="Q125" s="0" t="n">
        <f aca="false">$B125/Q$1</f>
        <v>0.00313793103448276</v>
      </c>
      <c r="R125" s="0" t="n">
        <f aca="false">$B125/R$1</f>
        <v>0.00293548387096774</v>
      </c>
      <c r="S125" s="0" t="n">
        <f aca="false">$B125/S$1</f>
        <v>0.00275757575757576</v>
      </c>
      <c r="T125" s="0" t="n">
        <f aca="false">$B125/T$1</f>
        <v>0.0026</v>
      </c>
      <c r="U125" s="0" t="n">
        <f aca="false">$B125/U$1</f>
        <v>0.00245945945945946</v>
      </c>
      <c r="V125" s="0" t="n">
        <f aca="false">$B125/V$1</f>
        <v>0.00233333333333333</v>
      </c>
      <c r="W125" s="0" t="n">
        <f aca="false">$B125/W$1</f>
        <v>0.00221951219512195</v>
      </c>
      <c r="X125" s="0" t="n">
        <f aca="false">$B125/X$1</f>
        <v>0.00211627906976744</v>
      </c>
      <c r="Y125" s="0" t="n">
        <f aca="false">$B125/Y$1</f>
        <v>0.00202222222222222</v>
      </c>
      <c r="Z125" s="0" t="n">
        <f aca="false">$B125/Z$1</f>
        <v>0.00193617021276596</v>
      </c>
      <c r="AA125" s="0" t="n">
        <f aca="false">$B125/AA$1</f>
        <v>0.00185714285714286</v>
      </c>
      <c r="AB125" s="0" t="n">
        <f aca="false">$B125/AB$1</f>
        <v>0.0017843137254902</v>
      </c>
      <c r="AC125" s="0" t="n">
        <f aca="false">$B125/AC$1</f>
        <v>0.00171698113207547</v>
      </c>
      <c r="AD125" s="0" t="n">
        <f aca="false">$B125/AD$1</f>
        <v>0.00165454545454545</v>
      </c>
      <c r="AE125" s="0" t="n">
        <f aca="false">$B125/AE$1</f>
        <v>0.00159649122807018</v>
      </c>
      <c r="AF125" s="0" t="n">
        <f aca="false">$B125/AF$1</f>
        <v>0.00154237288135593</v>
      </c>
      <c r="AG125" s="0" t="n">
        <f aca="false">$B125/AG$1</f>
        <v>0.00149180327868852</v>
      </c>
      <c r="AH125" s="0" t="n">
        <f aca="false">$B125/AH$1</f>
        <v>0.00144444444444444</v>
      </c>
      <c r="AI125" s="0" t="n">
        <f aca="false">$B125/AI$1</f>
        <v>0.0014</v>
      </c>
      <c r="AJ125" s="0" t="n">
        <f aca="false">$B125/AJ$1</f>
        <v>0.00135820895522388</v>
      </c>
      <c r="AK125" s="0" t="n">
        <f aca="false">$B125/AK$1</f>
        <v>0.00131884057971014</v>
      </c>
      <c r="AL125" s="0" t="n">
        <f aca="false">$B125/AL$1</f>
        <v>0.00128169014084507</v>
      </c>
      <c r="AM125" s="0" t="n">
        <f aca="false">$B125/AM$1</f>
        <v>0.00124657534246575</v>
      </c>
      <c r="AN125" s="0" t="n">
        <f aca="false">$B125/AN$1</f>
        <v>0.00121333333333333</v>
      </c>
      <c r="AO125" s="0" t="n">
        <f aca="false">$B125/AO$1</f>
        <v>0.00118181818181818</v>
      </c>
      <c r="AP125" s="0" t="n">
        <f aca="false">$B125/AP$1</f>
        <v>0.00115189873417722</v>
      </c>
      <c r="AQ125" s="0" t="n">
        <f aca="false">$B125/AQ$1</f>
        <v>0.00112345679012346</v>
      </c>
      <c r="AR125" s="0" t="n">
        <f aca="false">$B125/AR$1</f>
        <v>0.00109638554216867</v>
      </c>
      <c r="AS125" s="0" t="n">
        <f aca="false">$B125/AS$1</f>
        <v>0.00107058823529412</v>
      </c>
      <c r="AT125" s="0" t="n">
        <f aca="false">$B125/AT$1</f>
        <v>0.00104597701149425</v>
      </c>
      <c r="AU125" s="0" t="n">
        <f aca="false">$B125/AU$1</f>
        <v>0.00102247191011236</v>
      </c>
      <c r="AV125" s="0" t="n">
        <f aca="false">$B125/AV$1</f>
        <v>0.001</v>
      </c>
      <c r="AW125" s="0" t="n">
        <f aca="false">$B125/AW$1</f>
        <v>0.000978494623655914</v>
      </c>
      <c r="AX125" s="0" t="n">
        <f aca="false">$B125/AX$1</f>
        <v>0.000957894736842105</v>
      </c>
      <c r="AY125" s="0" t="n">
        <f aca="false">$B125/AY$1</f>
        <v>0.000938144329896907</v>
      </c>
      <c r="AZ125" s="0" t="n">
        <f aca="false">$B125/AZ$1</f>
        <v>0.000919191919191919</v>
      </c>
      <c r="BA125" s="0" t="n">
        <f aca="false">$B125/BA$1</f>
        <v>0.000900990099009901</v>
      </c>
      <c r="BB125" s="0" t="n">
        <f aca="false">$B125/BB$1</f>
        <v>0.000883495145631068</v>
      </c>
      <c r="BC125" s="0" t="n">
        <f aca="false">$B125/BC$1</f>
        <v>0.000866666666666667</v>
      </c>
      <c r="BD125" s="0" t="n">
        <f aca="false">$B125/BD$1</f>
        <v>0.000850467289719626</v>
      </c>
      <c r="BE125" s="0" t="n">
        <f aca="false">$B125/BE$1</f>
        <v>0.000834862385321101</v>
      </c>
      <c r="BF125" s="0" t="n">
        <f aca="false">$B125/BF$1</f>
        <v>0.00081981981981982</v>
      </c>
      <c r="BG125" s="0" t="n">
        <f aca="false">$B125/BG$1</f>
        <v>0.000805309734513274</v>
      </c>
      <c r="BH125" s="0" t="n">
        <f aca="false">$B125/BH$1</f>
        <v>0.000791304347826087</v>
      </c>
      <c r="BI125" s="0" t="n">
        <f aca="false">$B125/BI$1</f>
        <v>0.000777777777777778</v>
      </c>
      <c r="BJ125" s="0" t="n">
        <f aca="false">$B125/BJ$1</f>
        <v>0.000764705882352941</v>
      </c>
      <c r="BL125" s="0" t="n">
        <f aca="false">IF($B$120=1,COUNTIF(C125:BJ125,"&gt;="&amp;$C$120),0)</f>
        <v>12</v>
      </c>
      <c r="BM125" s="0" t="n">
        <f aca="false">IF($B$120=1,IF(OR(BS125&gt;=Settings!$B$5,Settings!$C$18&gt;0),MAX(BL125,Settings!$C$18),0),0)</f>
        <v>12</v>
      </c>
      <c r="BN125" s="0" t="n">
        <f aca="false">IF($B$120=1,IF(OR(BS125&gt;=Settings!$B$5,Settings!$C$18&gt;0),MAX(0,(2*MAX(BL125,Settings!$C$18)+1)*$C$120-BS125),MAX(0,Settings!$B$5-BS125)),"")</f>
        <v>0.00688732394366198</v>
      </c>
      <c r="BO125" s="0" t="n">
        <f aca="false">IF($B$120=1,IF(OR(BS125&gt;=Settings!$B$5,Settings!$C$18&gt;0),IF(BL125&lt;=Settings!$C$18,"Protected by electorates",IF(Settings!$C$18=0,MIN(BS125-(2*BL125-1)*$D$120,BS125-Settings!$B$5),BS125-(2*BL125-1)*$D$120)),""),"")</f>
        <v>0.00263157894736843</v>
      </c>
      <c r="BP125" s="0" t="n">
        <f aca="false">IF($B$120=1,IF(OR(BS125&gt;=Settings!$B$5,Settings!$C$18&gt;0),MAX(0,MIN(1,(BS125/$C$120-(2*MAX(BL125,Settings!$C$18)-1))/2)),MIN(1,BS125/Settings!$B$5)),"")</f>
        <v>0.120503597122301</v>
      </c>
      <c r="BQ125" s="0" t="n">
        <f aca="false">IF(AND($B$120=1,COUNTIF(C125:BJ125,$C$120)&gt;0),1,0)</f>
        <v>0</v>
      </c>
      <c r="BR125" s="0" t="n">
        <f aca="false">IF(AND($B$120=1,COUNTIF(C125:BJ125,$D$120)&gt;0),1,0)</f>
        <v>0</v>
      </c>
      <c r="BS125" s="0" t="n">
        <f aca="false">N(IF(Polls!L19="",Polls!L37,Polls!L19))</f>
        <v>0.091</v>
      </c>
      <c r="BT125" s="0" t="str">
        <f aca="false">IF(OR(BS125&gt;=Settings!$B$5,Settings!$C$18&gt;0),"Next seat","Threshold")</f>
        <v>Next seat</v>
      </c>
    </row>
    <row r="126" customFormat="false" ht="15" hidden="false" customHeight="false" outlineLevel="0" collapsed="false">
      <c r="A126" s="0" t="s">
        <v>50</v>
      </c>
      <c r="B126" s="0" t="n">
        <f aca="false">IF(OR(BS126&gt;=Settings!$B$5,Settings!$C$19&gt;0),BS126,0)</f>
        <v>0.015</v>
      </c>
      <c r="C126" s="0" t="n">
        <f aca="false">$B126/C$1</f>
        <v>0.015</v>
      </c>
      <c r="D126" s="0" t="n">
        <f aca="false">$B126/D$1</f>
        <v>0.005</v>
      </c>
      <c r="E126" s="0" t="n">
        <f aca="false">$B126/E$1</f>
        <v>0.003</v>
      </c>
      <c r="F126" s="0" t="n">
        <f aca="false">$B126/F$1</f>
        <v>0.00214285714285714</v>
      </c>
      <c r="G126" s="0" t="n">
        <f aca="false">$B126/G$1</f>
        <v>0.00166666666666667</v>
      </c>
      <c r="H126" s="0" t="n">
        <f aca="false">$B126/H$1</f>
        <v>0.00136363636363636</v>
      </c>
      <c r="I126" s="0" t="n">
        <f aca="false">$B126/I$1</f>
        <v>0.00115384615384615</v>
      </c>
      <c r="J126" s="0" t="n">
        <f aca="false">$B126/J$1</f>
        <v>0.001</v>
      </c>
      <c r="K126" s="0" t="n">
        <f aca="false">$B126/K$1</f>
        <v>0.000882352941176471</v>
      </c>
      <c r="L126" s="0" t="n">
        <f aca="false">$B126/L$1</f>
        <v>0.000789473684210526</v>
      </c>
      <c r="M126" s="0" t="n">
        <f aca="false">$B126/M$1</f>
        <v>0.000714285714285714</v>
      </c>
      <c r="N126" s="0" t="n">
        <f aca="false">$B126/N$1</f>
        <v>0.000652173913043478</v>
      </c>
      <c r="O126" s="0" t="n">
        <f aca="false">$B126/O$1</f>
        <v>0.0006</v>
      </c>
      <c r="P126" s="0" t="n">
        <f aca="false">$B126/P$1</f>
        <v>0.000555555555555556</v>
      </c>
      <c r="Q126" s="0" t="n">
        <f aca="false">$B126/Q$1</f>
        <v>0.000517241379310345</v>
      </c>
      <c r="R126" s="0" t="n">
        <f aca="false">$B126/R$1</f>
        <v>0.000483870967741936</v>
      </c>
      <c r="S126" s="0" t="n">
        <f aca="false">$B126/S$1</f>
        <v>0.000454545454545455</v>
      </c>
      <c r="T126" s="0" t="n">
        <f aca="false">$B126/T$1</f>
        <v>0.000428571428571429</v>
      </c>
      <c r="U126" s="0" t="n">
        <f aca="false">$B126/U$1</f>
        <v>0.000405405405405405</v>
      </c>
      <c r="V126" s="0" t="n">
        <f aca="false">$B126/V$1</f>
        <v>0.000384615384615385</v>
      </c>
      <c r="W126" s="0" t="n">
        <f aca="false">$B126/W$1</f>
        <v>0.000365853658536585</v>
      </c>
      <c r="X126" s="0" t="n">
        <f aca="false">$B126/X$1</f>
        <v>0.000348837209302326</v>
      </c>
      <c r="Y126" s="0" t="n">
        <f aca="false">$B126/Y$1</f>
        <v>0.000333333333333333</v>
      </c>
      <c r="Z126" s="0" t="n">
        <f aca="false">$B126/Z$1</f>
        <v>0.000319148936170213</v>
      </c>
      <c r="AA126" s="0" t="n">
        <f aca="false">$B126/AA$1</f>
        <v>0.000306122448979592</v>
      </c>
      <c r="AB126" s="0" t="n">
        <f aca="false">$B126/AB$1</f>
        <v>0.000294117647058824</v>
      </c>
      <c r="AC126" s="0" t="n">
        <f aca="false">$B126/AC$1</f>
        <v>0.000283018867924528</v>
      </c>
      <c r="AD126" s="0" t="n">
        <f aca="false">$B126/AD$1</f>
        <v>0.000272727272727273</v>
      </c>
      <c r="AE126" s="0" t="n">
        <f aca="false">$B126/AE$1</f>
        <v>0.000263157894736842</v>
      </c>
      <c r="AF126" s="0" t="n">
        <f aca="false">$B126/AF$1</f>
        <v>0.000254237288135593</v>
      </c>
      <c r="AG126" s="0" t="n">
        <f aca="false">$B126/AG$1</f>
        <v>0.000245901639344262</v>
      </c>
      <c r="AH126" s="0" t="n">
        <f aca="false">$B126/AH$1</f>
        <v>0.000238095238095238</v>
      </c>
      <c r="AI126" s="0" t="n">
        <f aca="false">$B126/AI$1</f>
        <v>0.000230769230769231</v>
      </c>
      <c r="AJ126" s="0" t="n">
        <f aca="false">$B126/AJ$1</f>
        <v>0.000223880597014925</v>
      </c>
      <c r="AK126" s="0" t="n">
        <f aca="false">$B126/AK$1</f>
        <v>0.000217391304347826</v>
      </c>
      <c r="AL126" s="0" t="n">
        <f aca="false">$B126/AL$1</f>
        <v>0.000211267605633803</v>
      </c>
      <c r="AM126" s="0" t="n">
        <f aca="false">$B126/AM$1</f>
        <v>0.000205479452054795</v>
      </c>
      <c r="AN126" s="0" t="n">
        <f aca="false">$B126/AN$1</f>
        <v>0.0002</v>
      </c>
      <c r="AO126" s="0" t="n">
        <f aca="false">$B126/AO$1</f>
        <v>0.000194805194805195</v>
      </c>
      <c r="AP126" s="0" t="n">
        <f aca="false">$B126/AP$1</f>
        <v>0.000189873417721519</v>
      </c>
      <c r="AQ126" s="0" t="n">
        <f aca="false">$B126/AQ$1</f>
        <v>0.000185185185185185</v>
      </c>
      <c r="AR126" s="0" t="n">
        <f aca="false">$B126/AR$1</f>
        <v>0.000180722891566265</v>
      </c>
      <c r="AS126" s="0" t="n">
        <f aca="false">$B126/AS$1</f>
        <v>0.000176470588235294</v>
      </c>
      <c r="AT126" s="0" t="n">
        <f aca="false">$B126/AT$1</f>
        <v>0.000172413793103448</v>
      </c>
      <c r="AU126" s="0" t="n">
        <f aca="false">$B126/AU$1</f>
        <v>0.000168539325842697</v>
      </c>
      <c r="AV126" s="0" t="n">
        <f aca="false">$B126/AV$1</f>
        <v>0.000164835164835165</v>
      </c>
      <c r="AW126" s="0" t="n">
        <f aca="false">$B126/AW$1</f>
        <v>0.000161290322580645</v>
      </c>
      <c r="AX126" s="0" t="n">
        <f aca="false">$B126/AX$1</f>
        <v>0.000157894736842105</v>
      </c>
      <c r="AY126" s="0" t="n">
        <f aca="false">$B126/AY$1</f>
        <v>0.000154639175257732</v>
      </c>
      <c r="AZ126" s="0" t="n">
        <f aca="false">$B126/AZ$1</f>
        <v>0.000151515151515152</v>
      </c>
      <c r="BA126" s="0" t="n">
        <f aca="false">$B126/BA$1</f>
        <v>0.000148514851485149</v>
      </c>
      <c r="BB126" s="0" t="n">
        <f aca="false">$B126/BB$1</f>
        <v>0.000145631067961165</v>
      </c>
      <c r="BC126" s="0" t="n">
        <f aca="false">$B126/BC$1</f>
        <v>0.000142857142857143</v>
      </c>
      <c r="BD126" s="0" t="n">
        <f aca="false">$B126/BD$1</f>
        <v>0.00014018691588785</v>
      </c>
      <c r="BE126" s="0" t="n">
        <f aca="false">$B126/BE$1</f>
        <v>0.000137614678899083</v>
      </c>
      <c r="BF126" s="0" t="n">
        <f aca="false">$B126/BF$1</f>
        <v>0.000135135135135135</v>
      </c>
      <c r="BG126" s="0" t="n">
        <f aca="false">$B126/BG$1</f>
        <v>0.000132743362831858</v>
      </c>
      <c r="BH126" s="0" t="n">
        <f aca="false">$B126/BH$1</f>
        <v>0.000130434782608696</v>
      </c>
      <c r="BI126" s="0" t="n">
        <f aca="false">$B126/BI$1</f>
        <v>0.000128205128205128</v>
      </c>
      <c r="BJ126" s="0" t="n">
        <f aca="false">$B126/BJ$1</f>
        <v>0.000126050420168067</v>
      </c>
      <c r="BL126" s="0" t="n">
        <f aca="false">IF($B$120=1,COUNTIF(C126:BJ126,"&gt;="&amp;$C$120),0)</f>
        <v>2</v>
      </c>
      <c r="BM126" s="0" t="n">
        <f aca="false">IF($B$120=1,IF(OR(BS126&gt;=Settings!$B$5,Settings!$C$19&gt;0),MAX(BL126,Settings!$C$19),0),0)</f>
        <v>4</v>
      </c>
      <c r="BN126" s="0" t="n">
        <f aca="false">IF($B$120=1,IF(OR(BS126&gt;=Settings!$B$5,Settings!$C$19&gt;0),MAX(0,(2*MAX(BL126,Settings!$C$19)+1)*$C$120-BS126),MAX(0,Settings!$B$5-BS126)),"")</f>
        <v>0.0202394366197183</v>
      </c>
      <c r="BO126" s="0" t="str">
        <f aca="false">IF($B$120=1,IF(OR(BS126&gt;=Settings!$B$5,Settings!$C$19&gt;0),IF(BL126&lt;=Settings!$C$19,"Protected by electorates",IF(Settings!$C$19=0,MIN(BS126-(2*BL126-1)*$D$120,BS126-Settings!$B$5),BS126-(2*BL126-1)*$D$120)),""),"")</f>
        <v>Protected by electorates</v>
      </c>
      <c r="BP126" s="0" t="n">
        <f aca="false">IF($B$120=1,IF(OR(BS126&gt;=Settings!$B$5,Settings!$C$19&gt;0),MAX(0,MIN(1,(BS126/$C$120-(2*MAX(BL126,Settings!$C$19)-1))/2)),MIN(1,BS126/Settings!$B$5)),"")</f>
        <v>0</v>
      </c>
      <c r="BQ126" s="0" t="n">
        <f aca="false">IF(AND($B$120=1,COUNTIF(C126:BJ126,$C$120)&gt;0),1,0)</f>
        <v>0</v>
      </c>
      <c r="BR126" s="0" t="n">
        <f aca="false">IF(AND($B$120=1,COUNTIF(C126:BJ126,$D$120)&gt;0),1,0)</f>
        <v>0</v>
      </c>
      <c r="BS126" s="0" t="n">
        <f aca="false">N(IF(Polls!M19="",Polls!M37,Polls!M19))</f>
        <v>0.015</v>
      </c>
      <c r="BT126" s="0" t="str">
        <f aca="false">IF(OR(BS126&gt;=Settings!$B$5,Settings!$C$19&gt;0),"Next seat","Threshold")</f>
        <v>Next seat</v>
      </c>
    </row>
    <row r="127" customFormat="false" ht="15" hidden="false" customHeight="false" outlineLevel="0" collapsed="false">
      <c r="A127" s="0" t="s">
        <v>52</v>
      </c>
      <c r="B127" s="0" t="n">
        <f aca="false">IF(OR(BS127&gt;=Settings!$B$5,Settings!$C$20&gt;0),BS127,0)</f>
        <v>0.061</v>
      </c>
      <c r="C127" s="0" t="n">
        <f aca="false">$B127/C$1</f>
        <v>0.061</v>
      </c>
      <c r="D127" s="0" t="n">
        <f aca="false">$B127/D$1</f>
        <v>0.0203333333333333</v>
      </c>
      <c r="E127" s="0" t="n">
        <f aca="false">$B127/E$1</f>
        <v>0.0122</v>
      </c>
      <c r="F127" s="0" t="n">
        <f aca="false">$B127/F$1</f>
        <v>0.00871428571428571</v>
      </c>
      <c r="G127" s="0" t="n">
        <f aca="false">$B127/G$1</f>
        <v>0.00677777777777778</v>
      </c>
      <c r="H127" s="0" t="n">
        <f aca="false">$B127/H$1</f>
        <v>0.00554545454545455</v>
      </c>
      <c r="I127" s="0" t="n">
        <f aca="false">$B127/I$1</f>
        <v>0.00469230769230769</v>
      </c>
      <c r="J127" s="0" t="n">
        <f aca="false">$B127/J$1</f>
        <v>0.00406666666666667</v>
      </c>
      <c r="K127" s="0" t="n">
        <f aca="false">$B127/K$1</f>
        <v>0.00358823529411765</v>
      </c>
      <c r="L127" s="0" t="n">
        <f aca="false">$B127/L$1</f>
        <v>0.00321052631578947</v>
      </c>
      <c r="M127" s="0" t="n">
        <f aca="false">$B127/M$1</f>
        <v>0.0029047619047619</v>
      </c>
      <c r="N127" s="0" t="n">
        <f aca="false">$B127/N$1</f>
        <v>0.00265217391304348</v>
      </c>
      <c r="O127" s="0" t="n">
        <f aca="false">$B127/O$1</f>
        <v>0.00244</v>
      </c>
      <c r="P127" s="0" t="n">
        <f aca="false">$B127/P$1</f>
        <v>0.00225925925925926</v>
      </c>
      <c r="Q127" s="0" t="n">
        <f aca="false">$B127/Q$1</f>
        <v>0.00210344827586207</v>
      </c>
      <c r="R127" s="0" t="n">
        <f aca="false">$B127/R$1</f>
        <v>0.00196774193548387</v>
      </c>
      <c r="S127" s="0" t="n">
        <f aca="false">$B127/S$1</f>
        <v>0.00184848484848485</v>
      </c>
      <c r="T127" s="0" t="n">
        <f aca="false">$B127/T$1</f>
        <v>0.00174285714285714</v>
      </c>
      <c r="U127" s="0" t="n">
        <f aca="false">$B127/U$1</f>
        <v>0.00164864864864865</v>
      </c>
      <c r="V127" s="0" t="n">
        <f aca="false">$B127/V$1</f>
        <v>0.00156410256410256</v>
      </c>
      <c r="W127" s="0" t="n">
        <f aca="false">$B127/W$1</f>
        <v>0.00148780487804878</v>
      </c>
      <c r="X127" s="0" t="n">
        <f aca="false">$B127/X$1</f>
        <v>0.00141860465116279</v>
      </c>
      <c r="Y127" s="0" t="n">
        <f aca="false">$B127/Y$1</f>
        <v>0.00135555555555556</v>
      </c>
      <c r="Z127" s="0" t="n">
        <f aca="false">$B127/Z$1</f>
        <v>0.00129787234042553</v>
      </c>
      <c r="AA127" s="0" t="n">
        <f aca="false">$B127/AA$1</f>
        <v>0.00124489795918367</v>
      </c>
      <c r="AB127" s="0" t="n">
        <f aca="false">$B127/AB$1</f>
        <v>0.00119607843137255</v>
      </c>
      <c r="AC127" s="0" t="n">
        <f aca="false">$B127/AC$1</f>
        <v>0.00115094339622642</v>
      </c>
      <c r="AD127" s="0" t="n">
        <f aca="false">$B127/AD$1</f>
        <v>0.00110909090909091</v>
      </c>
      <c r="AE127" s="0" t="n">
        <f aca="false">$B127/AE$1</f>
        <v>0.00107017543859649</v>
      </c>
      <c r="AF127" s="0" t="n">
        <f aca="false">$B127/AF$1</f>
        <v>0.00103389830508475</v>
      </c>
      <c r="AG127" s="0" t="n">
        <f aca="false">$B127/AG$1</f>
        <v>0.001</v>
      </c>
      <c r="AH127" s="0" t="n">
        <f aca="false">$B127/AH$1</f>
        <v>0.000968253968253968</v>
      </c>
      <c r="AI127" s="0" t="n">
        <f aca="false">$B127/AI$1</f>
        <v>0.000938461538461538</v>
      </c>
      <c r="AJ127" s="0" t="n">
        <f aca="false">$B127/AJ$1</f>
        <v>0.00091044776119403</v>
      </c>
      <c r="AK127" s="0" t="n">
        <f aca="false">$B127/AK$1</f>
        <v>0.000884057971014493</v>
      </c>
      <c r="AL127" s="0" t="n">
        <f aca="false">$B127/AL$1</f>
        <v>0.000859154929577465</v>
      </c>
      <c r="AM127" s="0" t="n">
        <f aca="false">$B127/AM$1</f>
        <v>0.000835616438356164</v>
      </c>
      <c r="AN127" s="0" t="n">
        <f aca="false">$B127/AN$1</f>
        <v>0.000813333333333333</v>
      </c>
      <c r="AO127" s="0" t="n">
        <f aca="false">$B127/AO$1</f>
        <v>0.000792207792207792</v>
      </c>
      <c r="AP127" s="0" t="n">
        <f aca="false">$B127/AP$1</f>
        <v>0.000772151898734177</v>
      </c>
      <c r="AQ127" s="0" t="n">
        <f aca="false">$B127/AQ$1</f>
        <v>0.000753086419753086</v>
      </c>
      <c r="AR127" s="0" t="n">
        <f aca="false">$B127/AR$1</f>
        <v>0.000734939759036145</v>
      </c>
      <c r="AS127" s="0" t="n">
        <f aca="false">$B127/AS$1</f>
        <v>0.000717647058823529</v>
      </c>
      <c r="AT127" s="0" t="n">
        <f aca="false">$B127/AT$1</f>
        <v>0.000701149425287356</v>
      </c>
      <c r="AU127" s="0" t="n">
        <f aca="false">$B127/AU$1</f>
        <v>0.000685393258426966</v>
      </c>
      <c r="AV127" s="0" t="n">
        <f aca="false">$B127/AV$1</f>
        <v>0.00067032967032967</v>
      </c>
      <c r="AW127" s="0" t="n">
        <f aca="false">$B127/AW$1</f>
        <v>0.000655913978494624</v>
      </c>
      <c r="AX127" s="0" t="n">
        <f aca="false">$B127/AX$1</f>
        <v>0.000642105263157895</v>
      </c>
      <c r="AY127" s="0" t="n">
        <f aca="false">$B127/AY$1</f>
        <v>0.000628865979381443</v>
      </c>
      <c r="AZ127" s="0" t="n">
        <f aca="false">$B127/AZ$1</f>
        <v>0.000616161616161616</v>
      </c>
      <c r="BA127" s="0" t="n">
        <f aca="false">$B127/BA$1</f>
        <v>0.000603960396039604</v>
      </c>
      <c r="BB127" s="0" t="n">
        <f aca="false">$B127/BB$1</f>
        <v>0.000592233009708738</v>
      </c>
      <c r="BC127" s="0" t="n">
        <f aca="false">$B127/BC$1</f>
        <v>0.000580952380952381</v>
      </c>
      <c r="BD127" s="0" t="n">
        <f aca="false">$B127/BD$1</f>
        <v>0.000570093457943925</v>
      </c>
      <c r="BE127" s="0" t="n">
        <f aca="false">$B127/BE$1</f>
        <v>0.000559633027522936</v>
      </c>
      <c r="BF127" s="0" t="n">
        <f aca="false">$B127/BF$1</f>
        <v>0.00054954954954955</v>
      </c>
      <c r="BG127" s="0" t="n">
        <f aca="false">$B127/BG$1</f>
        <v>0.000539823008849558</v>
      </c>
      <c r="BH127" s="0" t="n">
        <f aca="false">$B127/BH$1</f>
        <v>0.000530434782608696</v>
      </c>
      <c r="BI127" s="0" t="n">
        <f aca="false">$B127/BI$1</f>
        <v>0.000521367521367521</v>
      </c>
      <c r="BJ127" s="0" t="n">
        <f aca="false">$B127/BJ$1</f>
        <v>0.000512605042016807</v>
      </c>
      <c r="BL127" s="0" t="n">
        <f aca="false">IF($B$120=1,COUNTIF(C127:BJ127,"&gt;="&amp;$C$120),0)</f>
        <v>8</v>
      </c>
      <c r="BM127" s="0" t="n">
        <f aca="false">IF($B$120=1,IF(OR(BS127&gt;=Settings!$B$5,Settings!$C$20&gt;0),MAX(BL127,Settings!$C$20),0),0)</f>
        <v>8</v>
      </c>
      <c r="BN127" s="0" t="n">
        <f aca="false">IF($B$120=1,IF(OR(BS127&gt;=Settings!$B$5,Settings!$C$20&gt;0),MAX(0,(2*MAX(BL127,Settings!$C$20)+1)*$C$120-BS127),MAX(0,Settings!$B$5-BS127)),"")</f>
        <v>0.00556338028169015</v>
      </c>
      <c r="BO127" s="0" t="n">
        <f aca="false">IF($B$120=1,IF(OR(BS127&gt;=Settings!$B$5,Settings!$C$20&gt;0),IF(BL127&lt;=Settings!$C$20,"Protected by electorates",IF(Settings!$C$20=0,MIN(BS127-(2*BL127-1)*$D$120,BS127-Settings!$B$5),BS127-(2*BL127-1)*$D$120)),""),"")</f>
        <v>0.00336842105263158</v>
      </c>
      <c r="BP127" s="0" t="n">
        <f aca="false">IF($B$120=1,IF(OR(BS127&gt;=Settings!$B$5,Settings!$C$20&gt;0),MAX(0,MIN(1,(BS127/$C$120-(2*MAX(BL127,Settings!$C$20)-1))/2)),MIN(1,BS127/Settings!$B$5)),"")</f>
        <v>0.28956834532374</v>
      </c>
      <c r="BQ127" s="0" t="n">
        <f aca="false">IF(AND($B$120=1,COUNTIF(C127:BJ127,$C$120)&gt;0),1,0)</f>
        <v>0</v>
      </c>
      <c r="BR127" s="0" t="n">
        <f aca="false">IF(AND($B$120=1,COUNTIF(C127:BJ127,$D$120)&gt;0),1,0)</f>
        <v>0</v>
      </c>
      <c r="BS127" s="0" t="n">
        <f aca="false">N(IF(Polls!N19="",Polls!N37,Polls!N19))</f>
        <v>0.061</v>
      </c>
      <c r="BT127" s="0" t="str">
        <f aca="false">IF(OR(BS127&gt;=Settings!$B$5,Settings!$C$20&gt;0),"Next seat","Threshold")</f>
        <v>Next seat</v>
      </c>
    </row>
    <row r="129" customFormat="false" ht="15" hidden="false" customHeight="false" outlineLevel="0" collapsed="false">
      <c r="A129" s="41" t="n">
        <f aca="false">Polls!A20</f>
        <v>0</v>
      </c>
      <c r="B129" s="17" t="n">
        <f aca="false">IF(SUM(BS130:BS136)&gt;0,1,0)</f>
        <v>1</v>
      </c>
      <c r="C129" s="17" t="n">
        <f aca="false">IF(B129=1,LARGE(C130:BJ136,Settings!$B$4),0)</f>
        <v>0.00413333333333333</v>
      </c>
      <c r="D129" s="17" t="n">
        <f aca="false">IF(B129=1,LARGE(C130:BJ136,Settings!$B$4+1),0)</f>
        <v>0.00412882447665056</v>
      </c>
      <c r="E129" s="0" t="str">
        <f aca="false">IF(B129=1,IFERROR(INDEX(A130:A136,MATCH(1,BQ130:BQ136,0)),""),"")</f>
        <v>NZF</v>
      </c>
      <c r="F129" s="0" t="str">
        <f aca="false">IF(B129=1,IFERROR(INDEX(A130:A136,MATCH(1,BR130:BR136,0)),""),"")</f>
        <v>NAT</v>
      </c>
      <c r="G129" s="17" t="n">
        <f aca="false">IF(B129=1,SUM(BM130:BM136)+Settings!$B$10,"")</f>
        <v>122</v>
      </c>
    </row>
    <row r="130" customFormat="false" ht="15" hidden="false" customHeight="false" outlineLevel="0" collapsed="false">
      <c r="A130" s="0" t="s">
        <v>41</v>
      </c>
      <c r="B130" s="0" t="n">
        <f aca="false">IF(OR(BS130&gt;=Settings!$B$5,Settings!$C$14&gt;0),BS130,0)</f>
        <v>0.284888888888889</v>
      </c>
      <c r="C130" s="0" t="n">
        <f aca="false">$B130/C$1</f>
        <v>0.284888888888889</v>
      </c>
      <c r="D130" s="0" t="n">
        <f aca="false">$B130/D$1</f>
        <v>0.094962962962963</v>
      </c>
      <c r="E130" s="0" t="n">
        <f aca="false">$B130/E$1</f>
        <v>0.0569777777777778</v>
      </c>
      <c r="F130" s="0" t="n">
        <f aca="false">$B130/F$1</f>
        <v>0.0406984126984127</v>
      </c>
      <c r="G130" s="0" t="n">
        <f aca="false">$B130/G$1</f>
        <v>0.0316543209876543</v>
      </c>
      <c r="H130" s="0" t="n">
        <f aca="false">$B130/H$1</f>
        <v>0.0258989898989899</v>
      </c>
      <c r="I130" s="0" t="n">
        <f aca="false">$B130/I$1</f>
        <v>0.0219145299145299</v>
      </c>
      <c r="J130" s="0" t="n">
        <f aca="false">$B130/J$1</f>
        <v>0.0189925925925926</v>
      </c>
      <c r="K130" s="0" t="n">
        <f aca="false">$B130/K$1</f>
        <v>0.0167581699346405</v>
      </c>
      <c r="L130" s="0" t="n">
        <f aca="false">$B130/L$1</f>
        <v>0.0149941520467836</v>
      </c>
      <c r="M130" s="0" t="n">
        <f aca="false">$B130/M$1</f>
        <v>0.0135661375661376</v>
      </c>
      <c r="N130" s="0" t="n">
        <f aca="false">$B130/N$1</f>
        <v>0.0123864734299517</v>
      </c>
      <c r="O130" s="0" t="n">
        <f aca="false">$B130/O$1</f>
        <v>0.0113955555555556</v>
      </c>
      <c r="P130" s="0" t="n">
        <f aca="false">$B130/P$1</f>
        <v>0.0105514403292181</v>
      </c>
      <c r="Q130" s="0" t="n">
        <f aca="false">$B130/Q$1</f>
        <v>0.00982375478927203</v>
      </c>
      <c r="R130" s="0" t="n">
        <f aca="false">$B130/R$1</f>
        <v>0.0091899641577061</v>
      </c>
      <c r="S130" s="0" t="n">
        <f aca="false">$B130/S$1</f>
        <v>0.00863299663299663</v>
      </c>
      <c r="T130" s="0" t="n">
        <f aca="false">$B130/T$1</f>
        <v>0.00813968253968254</v>
      </c>
      <c r="U130" s="0" t="n">
        <f aca="false">$B130/U$1</f>
        <v>0.0076996996996997</v>
      </c>
      <c r="V130" s="0" t="n">
        <f aca="false">$B130/V$1</f>
        <v>0.00730484330484331</v>
      </c>
      <c r="W130" s="0" t="n">
        <f aca="false">$B130/W$1</f>
        <v>0.00694850948509485</v>
      </c>
      <c r="X130" s="0" t="n">
        <f aca="false">$B130/X$1</f>
        <v>0.00662532299741602</v>
      </c>
      <c r="Y130" s="0" t="n">
        <f aca="false">$B130/Y$1</f>
        <v>0.00633086419753086</v>
      </c>
      <c r="Z130" s="0" t="n">
        <f aca="false">$B130/Z$1</f>
        <v>0.00606146572104019</v>
      </c>
      <c r="AA130" s="0" t="n">
        <f aca="false">$B130/AA$1</f>
        <v>0.0058140589569161</v>
      </c>
      <c r="AB130" s="0" t="n">
        <f aca="false">$B130/AB$1</f>
        <v>0.00558605664488018</v>
      </c>
      <c r="AC130" s="0" t="n">
        <f aca="false">$B130/AC$1</f>
        <v>0.00537526205450734</v>
      </c>
      <c r="AD130" s="0" t="n">
        <f aca="false">$B130/AD$1</f>
        <v>0.00517979797979798</v>
      </c>
      <c r="AE130" s="0" t="n">
        <f aca="false">$B130/AE$1</f>
        <v>0.00499805068226121</v>
      </c>
      <c r="AF130" s="0" t="n">
        <f aca="false">$B130/AF$1</f>
        <v>0.0048286252354049</v>
      </c>
      <c r="AG130" s="0" t="n">
        <f aca="false">$B130/AG$1</f>
        <v>0.00467030965391621</v>
      </c>
      <c r="AH130" s="0" t="n">
        <f aca="false">$B130/AH$1</f>
        <v>0.00452204585537919</v>
      </c>
      <c r="AI130" s="0" t="n">
        <f aca="false">$B130/AI$1</f>
        <v>0.00438290598290598</v>
      </c>
      <c r="AJ130" s="0" t="n">
        <f aca="false">$B130/AJ$1</f>
        <v>0.00425207296849088</v>
      </c>
      <c r="AK130" s="0" t="n">
        <f aca="false">$B130/AK$1</f>
        <v>0.00412882447665056</v>
      </c>
      <c r="AL130" s="0" t="n">
        <f aca="false">$B130/AL$1</f>
        <v>0.00401251956181534</v>
      </c>
      <c r="AM130" s="0" t="n">
        <f aca="false">$B130/AM$1</f>
        <v>0.00390258751902588</v>
      </c>
      <c r="AN130" s="0" t="n">
        <f aca="false">$B130/AN$1</f>
        <v>0.00379851851851852</v>
      </c>
      <c r="AO130" s="0" t="n">
        <f aca="false">$B130/AO$1</f>
        <v>0.0036998556998557</v>
      </c>
      <c r="AP130" s="0" t="n">
        <f aca="false">$B130/AP$1</f>
        <v>0.00360618846694796</v>
      </c>
      <c r="AQ130" s="0" t="n">
        <f aca="false">$B130/AQ$1</f>
        <v>0.00351714677640604</v>
      </c>
      <c r="AR130" s="0" t="n">
        <f aca="false">$B130/AR$1</f>
        <v>0.00343239625167336</v>
      </c>
      <c r="AS130" s="0" t="n">
        <f aca="false">$B130/AS$1</f>
        <v>0.00335163398692811</v>
      </c>
      <c r="AT130" s="0" t="n">
        <f aca="false">$B130/AT$1</f>
        <v>0.00327458492975734</v>
      </c>
      <c r="AU130" s="0" t="n">
        <f aca="false">$B130/AU$1</f>
        <v>0.00320099875156055</v>
      </c>
      <c r="AV130" s="0" t="n">
        <f aca="false">$B130/AV$1</f>
        <v>0.00313064713064713</v>
      </c>
      <c r="AW130" s="0" t="n">
        <f aca="false">$B130/AW$1</f>
        <v>0.00306332138590203</v>
      </c>
      <c r="AX130" s="0" t="n">
        <f aca="false">$B130/AX$1</f>
        <v>0.00299883040935673</v>
      </c>
      <c r="AY130" s="0" t="n">
        <f aca="false">$B130/AY$1</f>
        <v>0.00293699885452463</v>
      </c>
      <c r="AZ130" s="0" t="n">
        <f aca="false">$B130/AZ$1</f>
        <v>0.00287766554433221</v>
      </c>
      <c r="BA130" s="0" t="n">
        <f aca="false">$B130/BA$1</f>
        <v>0.00282068206820682</v>
      </c>
      <c r="BB130" s="0" t="n">
        <f aca="false">$B130/BB$1</f>
        <v>0.00276591154261057</v>
      </c>
      <c r="BC130" s="0" t="n">
        <f aca="false">$B130/BC$1</f>
        <v>0.00271322751322751</v>
      </c>
      <c r="BD130" s="0" t="n">
        <f aca="false">$B130/BD$1</f>
        <v>0.00266251298026999</v>
      </c>
      <c r="BE130" s="0" t="n">
        <f aca="false">$B130/BE$1</f>
        <v>0.00261365953109072</v>
      </c>
      <c r="BF130" s="0" t="n">
        <f aca="false">$B130/BF$1</f>
        <v>0.00256656656656657</v>
      </c>
      <c r="BG130" s="0" t="n">
        <f aca="false">$B130/BG$1</f>
        <v>0.00252114060963619</v>
      </c>
      <c r="BH130" s="0" t="n">
        <f aca="false">$B130/BH$1</f>
        <v>0.00247729468599034</v>
      </c>
      <c r="BI130" s="0" t="n">
        <f aca="false">$B130/BI$1</f>
        <v>0.0024349477682811</v>
      </c>
      <c r="BJ130" s="0" t="n">
        <f aca="false">$B130/BJ$1</f>
        <v>0.00239402427637722</v>
      </c>
      <c r="BL130" s="0" t="n">
        <f aca="false">IF($B$129=1,COUNTIF(C130:BJ130,"&gt;="&amp;$C$129),0)</f>
        <v>34</v>
      </c>
      <c r="BM130" s="0" t="n">
        <f aca="false">IF($B$129=1,IF(OR(BS130&gt;=Settings!$B$5,Settings!$C$14&gt;0),MAX(BL130,Settings!$C$14),0),0)</f>
        <v>34</v>
      </c>
      <c r="BN130" s="0" t="n">
        <f aca="false">IF($B$129=1,IF(OR(BS130&gt;=Settings!$B$5,Settings!$C$14&gt;0),MAX(0,(2*MAX(BL130,Settings!$C$14)+1)*$C$129-BS130),MAX(0,Settings!$B$5-BS130)),"")</f>
        <v>0.000311111111111095</v>
      </c>
      <c r="BO130" s="0" t="n">
        <f aca="false">IF($B$129=1,IF(OR(BS130&gt;=Settings!$B$5,Settings!$C$14&gt;0),IF(BL130&lt;=Settings!$C$14,"Protected by electorates",IF(Settings!$C$14=0,MIN(BS130-(2*BL130-1)*$D$129,BS130-Settings!$B$5),BS130-(2*BL130-1)*$D$129)),""),"")</f>
        <v>0.00825764895330111</v>
      </c>
      <c r="BP130" s="0" t="n">
        <f aca="false">IF($B$129=1,IF(OR(BS130&gt;=Settings!$B$5,Settings!$C$14&gt;0),MAX(0,MIN(1,(BS130/$C$129-(2*MAX(BL130,Settings!$C$14)-1))/2)),MIN(1,BS130/Settings!$B$5)),"")</f>
        <v>0.962365591397848</v>
      </c>
      <c r="BQ130" s="0" t="n">
        <f aca="false">IF(AND($B$129=1,COUNTIF(C130:BJ130,$C$129)&gt;0),1,0)</f>
        <v>0</v>
      </c>
      <c r="BR130" s="0" t="n">
        <f aca="false">IF(AND($B$129=1,COUNTIF(C130:BJ130,$D$129)&gt;0),1,0)</f>
        <v>1</v>
      </c>
      <c r="BS130" s="0" t="n">
        <f aca="false">N(IF(Polls!H20="",Polls!H37,Polls!H20))</f>
        <v>0.284888888888889</v>
      </c>
      <c r="BT130" s="0" t="str">
        <f aca="false">IF(OR(BS130&gt;=Settings!$B$5,Settings!$C$14&gt;0),"Next seat","Threshold")</f>
        <v>Next seat</v>
      </c>
    </row>
    <row r="131" customFormat="false" ht="15" hidden="false" customHeight="false" outlineLevel="0" collapsed="false">
      <c r="A131" s="0" t="s">
        <v>43</v>
      </c>
      <c r="B131" s="0" t="n">
        <f aca="false">IF(OR(BS131&gt;=Settings!$B$5,Settings!$C$15&gt;0),BS131,0)</f>
        <v>0.279333333333333</v>
      </c>
      <c r="C131" s="0" t="n">
        <f aca="false">$B131/C$1</f>
        <v>0.279333333333333</v>
      </c>
      <c r="D131" s="0" t="n">
        <f aca="false">$B131/D$1</f>
        <v>0.0931111111111111</v>
      </c>
      <c r="E131" s="0" t="n">
        <f aca="false">$B131/E$1</f>
        <v>0.0558666666666667</v>
      </c>
      <c r="F131" s="0" t="n">
        <f aca="false">$B131/F$1</f>
        <v>0.0399047619047619</v>
      </c>
      <c r="G131" s="0" t="n">
        <f aca="false">$B131/G$1</f>
        <v>0.031037037037037</v>
      </c>
      <c r="H131" s="0" t="n">
        <f aca="false">$B131/H$1</f>
        <v>0.0253939393939394</v>
      </c>
      <c r="I131" s="0" t="n">
        <f aca="false">$B131/I$1</f>
        <v>0.0214871794871795</v>
      </c>
      <c r="J131" s="0" t="n">
        <f aca="false">$B131/J$1</f>
        <v>0.0186222222222222</v>
      </c>
      <c r="K131" s="0" t="n">
        <f aca="false">$B131/K$1</f>
        <v>0.0164313725490196</v>
      </c>
      <c r="L131" s="0" t="n">
        <f aca="false">$B131/L$1</f>
        <v>0.0147017543859649</v>
      </c>
      <c r="M131" s="0" t="n">
        <f aca="false">$B131/M$1</f>
        <v>0.0133015873015873</v>
      </c>
      <c r="N131" s="0" t="n">
        <f aca="false">$B131/N$1</f>
        <v>0.0121449275362319</v>
      </c>
      <c r="O131" s="0" t="n">
        <f aca="false">$B131/O$1</f>
        <v>0.0111733333333333</v>
      </c>
      <c r="P131" s="0" t="n">
        <f aca="false">$B131/P$1</f>
        <v>0.0103456790123457</v>
      </c>
      <c r="Q131" s="0" t="n">
        <f aca="false">$B131/Q$1</f>
        <v>0.00963218390804598</v>
      </c>
      <c r="R131" s="0" t="n">
        <f aca="false">$B131/R$1</f>
        <v>0.00901075268817204</v>
      </c>
      <c r="S131" s="0" t="n">
        <f aca="false">$B131/S$1</f>
        <v>0.00846464646464647</v>
      </c>
      <c r="T131" s="0" t="n">
        <f aca="false">$B131/T$1</f>
        <v>0.00798095238095238</v>
      </c>
      <c r="U131" s="0" t="n">
        <f aca="false">$B131/U$1</f>
        <v>0.00754954954954955</v>
      </c>
      <c r="V131" s="0" t="n">
        <f aca="false">$B131/V$1</f>
        <v>0.00716239316239316</v>
      </c>
      <c r="W131" s="0" t="n">
        <f aca="false">$B131/W$1</f>
        <v>0.0068130081300813</v>
      </c>
      <c r="X131" s="0" t="n">
        <f aca="false">$B131/X$1</f>
        <v>0.00649612403100775</v>
      </c>
      <c r="Y131" s="0" t="n">
        <f aca="false">$B131/Y$1</f>
        <v>0.00620740740740741</v>
      </c>
      <c r="Z131" s="0" t="n">
        <f aca="false">$B131/Z$1</f>
        <v>0.00594326241134752</v>
      </c>
      <c r="AA131" s="0" t="n">
        <f aca="false">$B131/AA$1</f>
        <v>0.00570068027210885</v>
      </c>
      <c r="AB131" s="0" t="n">
        <f aca="false">$B131/AB$1</f>
        <v>0.00547712418300654</v>
      </c>
      <c r="AC131" s="0" t="n">
        <f aca="false">$B131/AC$1</f>
        <v>0.00527044025157233</v>
      </c>
      <c r="AD131" s="0" t="n">
        <f aca="false">$B131/AD$1</f>
        <v>0.00507878787878788</v>
      </c>
      <c r="AE131" s="0" t="n">
        <f aca="false">$B131/AE$1</f>
        <v>0.00490058479532164</v>
      </c>
      <c r="AF131" s="0" t="n">
        <f aca="false">$B131/AF$1</f>
        <v>0.00473446327683616</v>
      </c>
      <c r="AG131" s="0" t="n">
        <f aca="false">$B131/AG$1</f>
        <v>0.0045792349726776</v>
      </c>
      <c r="AH131" s="0" t="n">
        <f aca="false">$B131/AH$1</f>
        <v>0.00443386243386244</v>
      </c>
      <c r="AI131" s="0" t="n">
        <f aca="false">$B131/AI$1</f>
        <v>0.0042974358974359</v>
      </c>
      <c r="AJ131" s="0" t="n">
        <f aca="false">$B131/AJ$1</f>
        <v>0.00416915422885572</v>
      </c>
      <c r="AK131" s="0" t="n">
        <f aca="false">$B131/AK$1</f>
        <v>0.00404830917874396</v>
      </c>
      <c r="AL131" s="0" t="n">
        <f aca="false">$B131/AL$1</f>
        <v>0.00393427230046948</v>
      </c>
      <c r="AM131" s="0" t="n">
        <f aca="false">$B131/AM$1</f>
        <v>0.00382648401826484</v>
      </c>
      <c r="AN131" s="0" t="n">
        <f aca="false">$B131/AN$1</f>
        <v>0.00372444444444445</v>
      </c>
      <c r="AO131" s="0" t="n">
        <f aca="false">$B131/AO$1</f>
        <v>0.00362770562770563</v>
      </c>
      <c r="AP131" s="0" t="n">
        <f aca="false">$B131/AP$1</f>
        <v>0.00353586497890295</v>
      </c>
      <c r="AQ131" s="0" t="n">
        <f aca="false">$B131/AQ$1</f>
        <v>0.00344855967078189</v>
      </c>
      <c r="AR131" s="0" t="n">
        <f aca="false">$B131/AR$1</f>
        <v>0.00336546184738956</v>
      </c>
      <c r="AS131" s="0" t="n">
        <f aca="false">$B131/AS$1</f>
        <v>0.00328627450980392</v>
      </c>
      <c r="AT131" s="0" t="n">
        <f aca="false">$B131/AT$1</f>
        <v>0.00321072796934866</v>
      </c>
      <c r="AU131" s="0" t="n">
        <f aca="false">$B131/AU$1</f>
        <v>0.00313857677902622</v>
      </c>
      <c r="AV131" s="0" t="n">
        <f aca="false">$B131/AV$1</f>
        <v>0.00306959706959707</v>
      </c>
      <c r="AW131" s="0" t="n">
        <f aca="false">$B131/AW$1</f>
        <v>0.00300358422939068</v>
      </c>
      <c r="AX131" s="0" t="n">
        <f aca="false">$B131/AX$1</f>
        <v>0.00294035087719298</v>
      </c>
      <c r="AY131" s="0" t="n">
        <f aca="false">$B131/AY$1</f>
        <v>0.00287972508591065</v>
      </c>
      <c r="AZ131" s="0" t="n">
        <f aca="false">$B131/AZ$1</f>
        <v>0.00282154882154882</v>
      </c>
      <c r="BA131" s="0" t="n">
        <f aca="false">$B131/BA$1</f>
        <v>0.00276567656765677</v>
      </c>
      <c r="BB131" s="0" t="n">
        <f aca="false">$B131/BB$1</f>
        <v>0.00271197411003236</v>
      </c>
      <c r="BC131" s="0" t="n">
        <f aca="false">$B131/BC$1</f>
        <v>0.00266031746031746</v>
      </c>
      <c r="BD131" s="0" t="n">
        <f aca="false">$B131/BD$1</f>
        <v>0.00261059190031153</v>
      </c>
      <c r="BE131" s="0" t="n">
        <f aca="false">$B131/BE$1</f>
        <v>0.00256269113149847</v>
      </c>
      <c r="BF131" s="0" t="n">
        <f aca="false">$B131/BF$1</f>
        <v>0.00251651651651652</v>
      </c>
      <c r="BG131" s="0" t="n">
        <f aca="false">$B131/BG$1</f>
        <v>0.00247197640117994</v>
      </c>
      <c r="BH131" s="0" t="n">
        <f aca="false">$B131/BH$1</f>
        <v>0.00242898550724638</v>
      </c>
      <c r="BI131" s="0" t="n">
        <f aca="false">$B131/BI$1</f>
        <v>0.00238746438746439</v>
      </c>
      <c r="BJ131" s="0" t="n">
        <f aca="false">$B131/BJ$1</f>
        <v>0.00234733893557423</v>
      </c>
      <c r="BL131" s="0" t="n">
        <f aca="false">IF($B$129=1,COUNTIF(C131:BJ131,"&gt;="&amp;$C$129),0)</f>
        <v>34</v>
      </c>
      <c r="BM131" s="0" t="n">
        <f aca="false">IF($B$129=1,IF(OR(BS131&gt;=Settings!$B$5,Settings!$C$15&gt;0),MAX(BL131,Settings!$C$15),0),0)</f>
        <v>34</v>
      </c>
      <c r="BN131" s="0" t="n">
        <f aca="false">IF($B$129=1,IF(OR(BS131&gt;=Settings!$B$5,Settings!$C$15&gt;0),MAX(0,(2*MAX(BL131,Settings!$C$15)+1)*$C$129-BS131),MAX(0,Settings!$B$5-BS131)),"")</f>
        <v>0.00586666666666663</v>
      </c>
      <c r="BO131" s="0" t="n">
        <f aca="false">IF($B$129=1,IF(OR(BS131&gt;=Settings!$B$5,Settings!$C$15&gt;0),IF(BL131&lt;=Settings!$C$15,"Protected by electorates",IF(Settings!$C$15=0,MIN(BS131-(2*BL131-1)*$D$129,BS131-Settings!$B$5),BS131-(2*BL131-1)*$D$129)),""),"")</f>
        <v>0.00270209339774558</v>
      </c>
      <c r="BP131" s="0" t="n">
        <f aca="false">IF($B$129=1,IF(OR(BS131&gt;=Settings!$B$5,Settings!$C$15&gt;0),MAX(0,MIN(1,(BS131/$C$129-(2*MAX(BL131,Settings!$C$15)-1))/2)),MIN(1,BS131/Settings!$B$5)),"")</f>
        <v>0.290322580645167</v>
      </c>
      <c r="BQ131" s="0" t="n">
        <f aca="false">IF(AND($B$129=1,COUNTIF(C131:BJ131,$C$129)&gt;0),1,0)</f>
        <v>0</v>
      </c>
      <c r="BR131" s="0" t="n">
        <f aca="false">IF(AND($B$129=1,COUNTIF(C131:BJ131,$D$129)&gt;0),1,0)</f>
        <v>0</v>
      </c>
      <c r="BS131" s="0" t="n">
        <f aca="false">N(IF(Polls!I20="",Polls!I37,Polls!I20))</f>
        <v>0.279333333333333</v>
      </c>
      <c r="BT131" s="0" t="str">
        <f aca="false">IF(OR(BS131&gt;=Settings!$B$5,Settings!$C$15&gt;0),"Next seat","Threshold")</f>
        <v>Next seat</v>
      </c>
    </row>
    <row r="132" customFormat="false" ht="15" hidden="false" customHeight="false" outlineLevel="0" collapsed="false">
      <c r="A132" s="0" t="s">
        <v>45</v>
      </c>
      <c r="B132" s="0" t="n">
        <f aca="false">IF(OR(BS132&gt;=Settings!$B$5,Settings!$C$16&gt;0),BS132,0)</f>
        <v>0.145555555555556</v>
      </c>
      <c r="C132" s="0" t="n">
        <f aca="false">$B132/C$1</f>
        <v>0.145555555555556</v>
      </c>
      <c r="D132" s="0" t="n">
        <f aca="false">$B132/D$1</f>
        <v>0.0485185185185185</v>
      </c>
      <c r="E132" s="0" t="n">
        <f aca="false">$B132/E$1</f>
        <v>0.0291111111111111</v>
      </c>
      <c r="F132" s="0" t="n">
        <f aca="false">$B132/F$1</f>
        <v>0.0207936507936508</v>
      </c>
      <c r="G132" s="0" t="n">
        <f aca="false">$B132/G$1</f>
        <v>0.0161728395061728</v>
      </c>
      <c r="H132" s="0" t="n">
        <f aca="false">$B132/H$1</f>
        <v>0.0132323232323232</v>
      </c>
      <c r="I132" s="0" t="n">
        <f aca="false">$B132/I$1</f>
        <v>0.0111965811965812</v>
      </c>
      <c r="J132" s="0" t="n">
        <f aca="false">$B132/J$1</f>
        <v>0.0097037037037037</v>
      </c>
      <c r="K132" s="0" t="n">
        <f aca="false">$B132/K$1</f>
        <v>0.00856209150326797</v>
      </c>
      <c r="L132" s="0" t="n">
        <f aca="false">$B132/L$1</f>
        <v>0.00766081871345029</v>
      </c>
      <c r="M132" s="0" t="n">
        <f aca="false">$B132/M$1</f>
        <v>0.00693121693121693</v>
      </c>
      <c r="N132" s="0" t="n">
        <f aca="false">$B132/N$1</f>
        <v>0.00632850241545894</v>
      </c>
      <c r="O132" s="0" t="n">
        <f aca="false">$B132/O$1</f>
        <v>0.00582222222222222</v>
      </c>
      <c r="P132" s="0" t="n">
        <f aca="false">$B132/P$1</f>
        <v>0.00539094650205761</v>
      </c>
      <c r="Q132" s="0" t="n">
        <f aca="false">$B132/Q$1</f>
        <v>0.00501915708812261</v>
      </c>
      <c r="R132" s="0" t="n">
        <f aca="false">$B132/R$1</f>
        <v>0.00469534050179212</v>
      </c>
      <c r="S132" s="0" t="n">
        <f aca="false">$B132/S$1</f>
        <v>0.00441077441077441</v>
      </c>
      <c r="T132" s="0" t="n">
        <f aca="false">$B132/T$1</f>
        <v>0.00415873015873016</v>
      </c>
      <c r="U132" s="0" t="n">
        <f aca="false">$B132/U$1</f>
        <v>0.00393393393393393</v>
      </c>
      <c r="V132" s="0" t="n">
        <f aca="false">$B132/V$1</f>
        <v>0.00373219373219373</v>
      </c>
      <c r="W132" s="0" t="n">
        <f aca="false">$B132/W$1</f>
        <v>0.00355013550135501</v>
      </c>
      <c r="X132" s="0" t="n">
        <f aca="false">$B132/X$1</f>
        <v>0.00338501291989664</v>
      </c>
      <c r="Y132" s="0" t="n">
        <f aca="false">$B132/Y$1</f>
        <v>0.00323456790123457</v>
      </c>
      <c r="Z132" s="0" t="n">
        <f aca="false">$B132/Z$1</f>
        <v>0.00309692671394799</v>
      </c>
      <c r="AA132" s="0" t="n">
        <f aca="false">$B132/AA$1</f>
        <v>0.00297052154195011</v>
      </c>
      <c r="AB132" s="0" t="n">
        <f aca="false">$B132/AB$1</f>
        <v>0.00285403050108932</v>
      </c>
      <c r="AC132" s="0" t="n">
        <f aca="false">$B132/AC$1</f>
        <v>0.00274633123689727</v>
      </c>
      <c r="AD132" s="0" t="n">
        <f aca="false">$B132/AD$1</f>
        <v>0.00264646464646465</v>
      </c>
      <c r="AE132" s="0" t="n">
        <f aca="false">$B132/AE$1</f>
        <v>0.00255360623781676</v>
      </c>
      <c r="AF132" s="0" t="n">
        <f aca="false">$B132/AF$1</f>
        <v>0.00246704331450094</v>
      </c>
      <c r="AG132" s="0" t="n">
        <f aca="false">$B132/AG$1</f>
        <v>0.00238615664845173</v>
      </c>
      <c r="AH132" s="0" t="n">
        <f aca="false">$B132/AH$1</f>
        <v>0.00231040564373898</v>
      </c>
      <c r="AI132" s="0" t="n">
        <f aca="false">$B132/AI$1</f>
        <v>0.00223931623931624</v>
      </c>
      <c r="AJ132" s="0" t="n">
        <f aca="false">$B132/AJ$1</f>
        <v>0.00217247097844113</v>
      </c>
      <c r="AK132" s="0" t="n">
        <f aca="false">$B132/AK$1</f>
        <v>0.00210950080515298</v>
      </c>
      <c r="AL132" s="0" t="n">
        <f aca="false">$B132/AL$1</f>
        <v>0.00205007824726135</v>
      </c>
      <c r="AM132" s="0" t="n">
        <f aca="false">$B132/AM$1</f>
        <v>0.00199391171993912</v>
      </c>
      <c r="AN132" s="0" t="n">
        <f aca="false">$B132/AN$1</f>
        <v>0.00194074074074074</v>
      </c>
      <c r="AO132" s="0" t="n">
        <f aca="false">$B132/AO$1</f>
        <v>0.00189033189033189</v>
      </c>
      <c r="AP132" s="0" t="n">
        <f aca="false">$B132/AP$1</f>
        <v>0.00184247538677918</v>
      </c>
      <c r="AQ132" s="0" t="n">
        <f aca="false">$B132/AQ$1</f>
        <v>0.00179698216735254</v>
      </c>
      <c r="AR132" s="0" t="n">
        <f aca="false">$B132/AR$1</f>
        <v>0.00175368139223561</v>
      </c>
      <c r="AS132" s="0" t="n">
        <f aca="false">$B132/AS$1</f>
        <v>0.00171241830065359</v>
      </c>
      <c r="AT132" s="0" t="n">
        <f aca="false">$B132/AT$1</f>
        <v>0.00167305236270754</v>
      </c>
      <c r="AU132" s="0" t="n">
        <f aca="false">$B132/AU$1</f>
        <v>0.0016354556803995</v>
      </c>
      <c r="AV132" s="0" t="n">
        <f aca="false">$B132/AV$1</f>
        <v>0.0015995115995116</v>
      </c>
      <c r="AW132" s="0" t="n">
        <f aca="false">$B132/AW$1</f>
        <v>0.00156511350059737</v>
      </c>
      <c r="AX132" s="0" t="n">
        <f aca="false">$B132/AX$1</f>
        <v>0.00153216374269006</v>
      </c>
      <c r="AY132" s="0" t="n">
        <f aca="false">$B132/AY$1</f>
        <v>0.00150057273768614</v>
      </c>
      <c r="AZ132" s="0" t="n">
        <f aca="false">$B132/AZ$1</f>
        <v>0.0014702581369248</v>
      </c>
      <c r="BA132" s="0" t="n">
        <f aca="false">$B132/BA$1</f>
        <v>0.00144114411441144</v>
      </c>
      <c r="BB132" s="0" t="n">
        <f aca="false">$B132/BB$1</f>
        <v>0.00141316073354908</v>
      </c>
      <c r="BC132" s="0" t="n">
        <f aca="false">$B132/BC$1</f>
        <v>0.00138624338624339</v>
      </c>
      <c r="BD132" s="0" t="n">
        <f aca="false">$B132/BD$1</f>
        <v>0.00136033229491173</v>
      </c>
      <c r="BE132" s="0" t="n">
        <f aca="false">$B132/BE$1</f>
        <v>0.00133537206931702</v>
      </c>
      <c r="BF132" s="0" t="n">
        <f aca="false">$B132/BF$1</f>
        <v>0.00131131131131131</v>
      </c>
      <c r="BG132" s="0" t="n">
        <f aca="false">$B132/BG$1</f>
        <v>0.00128810226155359</v>
      </c>
      <c r="BH132" s="0" t="n">
        <f aca="false">$B132/BH$1</f>
        <v>0.00126570048309179</v>
      </c>
      <c r="BI132" s="0" t="n">
        <f aca="false">$B132/BI$1</f>
        <v>0.00124406457739791</v>
      </c>
      <c r="BJ132" s="0" t="n">
        <f aca="false">$B132/BJ$1</f>
        <v>0.00122315592903828</v>
      </c>
      <c r="BL132" s="0" t="n">
        <f aca="false">IF($B$129=1,COUNTIF(C132:BJ132,"&gt;="&amp;$C$129),0)</f>
        <v>18</v>
      </c>
      <c r="BM132" s="0" t="n">
        <f aca="false">IF($B$129=1,IF(OR(BS132&gt;=Settings!$B$5,Settings!$C$16&gt;0),MAX(BL132,Settings!$C$16),0),0)</f>
        <v>18</v>
      </c>
      <c r="BN132" s="0" t="n">
        <f aca="false">IF($B$129=1,IF(OR(BS132&gt;=Settings!$B$5,Settings!$C$16&gt;0),MAX(0,(2*MAX(BL132,Settings!$C$16)+1)*$C$129-BS132),MAX(0,Settings!$B$5-BS132)),"")</f>
        <v>0.00737777777777779</v>
      </c>
      <c r="BO132" s="0" t="n">
        <f aca="false">IF($B$129=1,IF(OR(BS132&gt;=Settings!$B$5,Settings!$C$16&gt;0),IF(BL132&lt;=Settings!$C$16,"Protected by electorates",IF(Settings!$C$16=0,MIN(BS132-(2*BL132-1)*$D$129,BS132-Settings!$B$5),BS132-(2*BL132-1)*$D$129)),""),"")</f>
        <v>0.0010466988727858</v>
      </c>
      <c r="BP132" s="0" t="n">
        <f aca="false">IF($B$129=1,IF(OR(BS132&gt;=Settings!$B$5,Settings!$C$16&gt;0),MAX(0,MIN(1,(BS132/$C$129-(2*MAX(BL132,Settings!$C$16)-1))/2)),MIN(1,BS132/Settings!$B$5)),"")</f>
        <v>0.107526881720428</v>
      </c>
      <c r="BQ132" s="0" t="n">
        <f aca="false">IF(AND($B$129=1,COUNTIF(C132:BJ132,$C$129)&gt;0),1,0)</f>
        <v>0</v>
      </c>
      <c r="BR132" s="0" t="n">
        <f aca="false">IF(AND($B$129=1,COUNTIF(C132:BJ132,$D$129)&gt;0),1,0)</f>
        <v>0</v>
      </c>
      <c r="BS132" s="0" t="n">
        <f aca="false">N(IF(Polls!J20="",Polls!J37,Polls!J20))</f>
        <v>0.145555555555556</v>
      </c>
      <c r="BT132" s="0" t="str">
        <f aca="false">IF(OR(BS132&gt;=Settings!$B$5,Settings!$C$16&gt;0),"Next seat","Threshold")</f>
        <v>Next seat</v>
      </c>
    </row>
    <row r="133" customFormat="false" ht="15" hidden="false" customHeight="false" outlineLevel="0" collapsed="false">
      <c r="A133" s="0" t="s">
        <v>46</v>
      </c>
      <c r="B133" s="0" t="n">
        <f aca="false">IF(OR(BS133&gt;=Settings!$B$5,Settings!$C$17&gt;0),BS133,0)</f>
        <v>0.0963333333333333</v>
      </c>
      <c r="C133" s="0" t="n">
        <f aca="false">$B133/C$1</f>
        <v>0.0963333333333333</v>
      </c>
      <c r="D133" s="0" t="n">
        <f aca="false">$B133/D$1</f>
        <v>0.0321111111111111</v>
      </c>
      <c r="E133" s="0" t="n">
        <f aca="false">$B133/E$1</f>
        <v>0.0192666666666667</v>
      </c>
      <c r="F133" s="0" t="n">
        <f aca="false">$B133/F$1</f>
        <v>0.0137619047619048</v>
      </c>
      <c r="G133" s="0" t="n">
        <f aca="false">$B133/G$1</f>
        <v>0.0107037037037037</v>
      </c>
      <c r="H133" s="0" t="n">
        <f aca="false">$B133/H$1</f>
        <v>0.00875757575757576</v>
      </c>
      <c r="I133" s="0" t="n">
        <f aca="false">$B133/I$1</f>
        <v>0.00741025641025641</v>
      </c>
      <c r="J133" s="0" t="n">
        <f aca="false">$B133/J$1</f>
        <v>0.00642222222222222</v>
      </c>
      <c r="K133" s="0" t="n">
        <f aca="false">$B133/K$1</f>
        <v>0.00566666666666667</v>
      </c>
      <c r="L133" s="0" t="n">
        <f aca="false">$B133/L$1</f>
        <v>0.00507017543859649</v>
      </c>
      <c r="M133" s="0" t="n">
        <f aca="false">$B133/M$1</f>
        <v>0.00458730158730159</v>
      </c>
      <c r="N133" s="0" t="n">
        <f aca="false">$B133/N$1</f>
        <v>0.00418840579710145</v>
      </c>
      <c r="O133" s="0" t="n">
        <f aca="false">$B133/O$1</f>
        <v>0.00385333333333333</v>
      </c>
      <c r="P133" s="0" t="n">
        <f aca="false">$B133/P$1</f>
        <v>0.0035679012345679</v>
      </c>
      <c r="Q133" s="0" t="n">
        <f aca="false">$B133/Q$1</f>
        <v>0.00332183908045977</v>
      </c>
      <c r="R133" s="0" t="n">
        <f aca="false">$B133/R$1</f>
        <v>0.00310752688172043</v>
      </c>
      <c r="S133" s="0" t="n">
        <f aca="false">$B133/S$1</f>
        <v>0.00291919191919192</v>
      </c>
      <c r="T133" s="0" t="n">
        <f aca="false">$B133/T$1</f>
        <v>0.00275238095238095</v>
      </c>
      <c r="U133" s="0" t="n">
        <f aca="false">$B133/U$1</f>
        <v>0.0026036036036036</v>
      </c>
      <c r="V133" s="0" t="n">
        <f aca="false">$B133/V$1</f>
        <v>0.00247008547008547</v>
      </c>
      <c r="W133" s="0" t="n">
        <f aca="false">$B133/W$1</f>
        <v>0.00234959349593496</v>
      </c>
      <c r="X133" s="0" t="n">
        <f aca="false">$B133/X$1</f>
        <v>0.00224031007751938</v>
      </c>
      <c r="Y133" s="0" t="n">
        <f aca="false">$B133/Y$1</f>
        <v>0.00214074074074074</v>
      </c>
      <c r="Z133" s="0" t="n">
        <f aca="false">$B133/Z$1</f>
        <v>0.00204964539007092</v>
      </c>
      <c r="AA133" s="0" t="n">
        <f aca="false">$B133/AA$1</f>
        <v>0.00196598639455782</v>
      </c>
      <c r="AB133" s="0" t="n">
        <f aca="false">$B133/AB$1</f>
        <v>0.00188888888888889</v>
      </c>
      <c r="AC133" s="0" t="n">
        <f aca="false">$B133/AC$1</f>
        <v>0.00181761006289308</v>
      </c>
      <c r="AD133" s="0" t="n">
        <f aca="false">$B133/AD$1</f>
        <v>0.00175151515151515</v>
      </c>
      <c r="AE133" s="0" t="n">
        <f aca="false">$B133/AE$1</f>
        <v>0.00169005847953216</v>
      </c>
      <c r="AF133" s="0" t="n">
        <f aca="false">$B133/AF$1</f>
        <v>0.00163276836158192</v>
      </c>
      <c r="AG133" s="0" t="n">
        <f aca="false">$B133/AG$1</f>
        <v>0.0015792349726776</v>
      </c>
      <c r="AH133" s="0" t="n">
        <f aca="false">$B133/AH$1</f>
        <v>0.00152910052910053</v>
      </c>
      <c r="AI133" s="0" t="n">
        <f aca="false">$B133/AI$1</f>
        <v>0.00148205128205128</v>
      </c>
      <c r="AJ133" s="0" t="n">
        <f aca="false">$B133/AJ$1</f>
        <v>0.00143781094527363</v>
      </c>
      <c r="AK133" s="0" t="n">
        <f aca="false">$B133/AK$1</f>
        <v>0.00139613526570048</v>
      </c>
      <c r="AL133" s="0" t="n">
        <f aca="false">$B133/AL$1</f>
        <v>0.00135680751173709</v>
      </c>
      <c r="AM133" s="0" t="n">
        <f aca="false">$B133/AM$1</f>
        <v>0.00131963470319635</v>
      </c>
      <c r="AN133" s="0" t="n">
        <f aca="false">$B133/AN$1</f>
        <v>0.00128444444444444</v>
      </c>
      <c r="AO133" s="0" t="n">
        <f aca="false">$B133/AO$1</f>
        <v>0.00125108225108225</v>
      </c>
      <c r="AP133" s="0" t="n">
        <f aca="false">$B133/AP$1</f>
        <v>0.00121940928270042</v>
      </c>
      <c r="AQ133" s="0" t="n">
        <f aca="false">$B133/AQ$1</f>
        <v>0.00118930041152263</v>
      </c>
      <c r="AR133" s="0" t="n">
        <f aca="false">$B133/AR$1</f>
        <v>0.00116064257028112</v>
      </c>
      <c r="AS133" s="0" t="n">
        <f aca="false">$B133/AS$1</f>
        <v>0.00113333333333333</v>
      </c>
      <c r="AT133" s="0" t="n">
        <f aca="false">$B133/AT$1</f>
        <v>0.00110727969348659</v>
      </c>
      <c r="AU133" s="0" t="n">
        <f aca="false">$B133/AU$1</f>
        <v>0.00108239700374532</v>
      </c>
      <c r="AV133" s="0" t="n">
        <f aca="false">$B133/AV$1</f>
        <v>0.00105860805860806</v>
      </c>
      <c r="AW133" s="0" t="n">
        <f aca="false">$B133/AW$1</f>
        <v>0.00103584229390681</v>
      </c>
      <c r="AX133" s="0" t="n">
        <f aca="false">$B133/AX$1</f>
        <v>0.0010140350877193</v>
      </c>
      <c r="AY133" s="0" t="n">
        <f aca="false">$B133/AY$1</f>
        <v>0.000993127147766323</v>
      </c>
      <c r="AZ133" s="0" t="n">
        <f aca="false">$B133/AZ$1</f>
        <v>0.000973063973063973</v>
      </c>
      <c r="BA133" s="0" t="n">
        <f aca="false">$B133/BA$1</f>
        <v>0.000953795379537954</v>
      </c>
      <c r="BB133" s="0" t="n">
        <f aca="false">$B133/BB$1</f>
        <v>0.000935275080906149</v>
      </c>
      <c r="BC133" s="0" t="n">
        <f aca="false">$B133/BC$1</f>
        <v>0.000917460317460317</v>
      </c>
      <c r="BD133" s="0" t="n">
        <f aca="false">$B133/BD$1</f>
        <v>0.000900311526479751</v>
      </c>
      <c r="BE133" s="0" t="n">
        <f aca="false">$B133/BE$1</f>
        <v>0.000883792048929664</v>
      </c>
      <c r="BF133" s="0" t="n">
        <f aca="false">$B133/BF$1</f>
        <v>0.000867867867867868</v>
      </c>
      <c r="BG133" s="0" t="n">
        <f aca="false">$B133/BG$1</f>
        <v>0.000852507374631268</v>
      </c>
      <c r="BH133" s="0" t="n">
        <f aca="false">$B133/BH$1</f>
        <v>0.00083768115942029</v>
      </c>
      <c r="BI133" s="0" t="n">
        <f aca="false">$B133/BI$1</f>
        <v>0.000823361823361823</v>
      </c>
      <c r="BJ133" s="0" t="n">
        <f aca="false">$B133/BJ$1</f>
        <v>0.00080952380952381</v>
      </c>
      <c r="BL133" s="0" t="n">
        <f aca="false">IF($B$129=1,COUNTIF(C133:BJ133,"&gt;="&amp;$C$129),0)</f>
        <v>12</v>
      </c>
      <c r="BM133" s="0" t="n">
        <f aca="false">IF($B$129=1,IF(OR(BS133&gt;=Settings!$B$5,Settings!$C$17&gt;0),MAX(BL133,Settings!$C$17),0),0)</f>
        <v>12</v>
      </c>
      <c r="BN133" s="0" t="n">
        <f aca="false">IF($B$129=1,IF(OR(BS133&gt;=Settings!$B$5,Settings!$C$17&gt;0),MAX(0,(2*MAX(BL133,Settings!$C$17)+1)*$C$129-BS133),MAX(0,Settings!$B$5-BS133)),"")</f>
        <v>0.00700000000000001</v>
      </c>
      <c r="BO133" s="0" t="n">
        <f aca="false">IF($B$129=1,IF(OR(BS133&gt;=Settings!$B$5,Settings!$C$17&gt;0),IF(BL133&lt;=Settings!$C$17,"Protected by electorates",IF(Settings!$C$17=0,MIN(BS133-(2*BL133-1)*$D$129,BS133-Settings!$B$5),BS133-(2*BL133-1)*$D$129)),""),"")</f>
        <v>0.00137037037037036</v>
      </c>
      <c r="BP133" s="0" t="n">
        <f aca="false">IF($B$129=1,IF(OR(BS133&gt;=Settings!$B$5,Settings!$C$17&gt;0),MAX(0,MIN(1,(BS133/$C$129-(2*MAX(BL133,Settings!$C$17)-1))/2)),MIN(1,BS133/Settings!$B$5)),"")</f>
        <v>0.153225806451612</v>
      </c>
      <c r="BQ133" s="0" t="n">
        <f aca="false">IF(AND($B$129=1,COUNTIF(C133:BJ133,$C$129)&gt;0),1,0)</f>
        <v>0</v>
      </c>
      <c r="BR133" s="0" t="n">
        <f aca="false">IF(AND($B$129=1,COUNTIF(C133:BJ133,$D$129)&gt;0),1,0)</f>
        <v>0</v>
      </c>
      <c r="BS133" s="0" t="n">
        <f aca="false">N(IF(Polls!K20="",Polls!K37,Polls!K20))</f>
        <v>0.0963333333333333</v>
      </c>
      <c r="BT133" s="0" t="str">
        <f aca="false">IF(OR(BS133&gt;=Settings!$B$5,Settings!$C$17&gt;0),"Next seat","Threshold")</f>
        <v>Next seat</v>
      </c>
    </row>
    <row r="134" customFormat="false" ht="15" hidden="false" customHeight="false" outlineLevel="0" collapsed="false">
      <c r="A134" s="0" t="s">
        <v>48</v>
      </c>
      <c r="B134" s="0" t="n">
        <f aca="false">IF(OR(BS134&gt;=Settings!$B$5,Settings!$C$18&gt;0),BS134,0)</f>
        <v>0.103333333333333</v>
      </c>
      <c r="C134" s="0" t="n">
        <f aca="false">$B134/C$1</f>
        <v>0.103333333333333</v>
      </c>
      <c r="D134" s="0" t="n">
        <f aca="false">$B134/D$1</f>
        <v>0.0344444444444444</v>
      </c>
      <c r="E134" s="0" t="n">
        <f aca="false">$B134/E$1</f>
        <v>0.0206666666666667</v>
      </c>
      <c r="F134" s="0" t="n">
        <f aca="false">$B134/F$1</f>
        <v>0.0147619047619048</v>
      </c>
      <c r="G134" s="0" t="n">
        <f aca="false">$B134/G$1</f>
        <v>0.0114814814814815</v>
      </c>
      <c r="H134" s="0" t="n">
        <f aca="false">$B134/H$1</f>
        <v>0.00939393939393939</v>
      </c>
      <c r="I134" s="0" t="n">
        <f aca="false">$B134/I$1</f>
        <v>0.00794871794871795</v>
      </c>
      <c r="J134" s="0" t="n">
        <f aca="false">$B134/J$1</f>
        <v>0.00688888888888889</v>
      </c>
      <c r="K134" s="0" t="n">
        <f aca="false">$B134/K$1</f>
        <v>0.00607843137254902</v>
      </c>
      <c r="L134" s="0" t="n">
        <f aca="false">$B134/L$1</f>
        <v>0.00543859649122807</v>
      </c>
      <c r="M134" s="0" t="n">
        <f aca="false">$B134/M$1</f>
        <v>0.00492063492063492</v>
      </c>
      <c r="N134" s="0" t="n">
        <f aca="false">$B134/N$1</f>
        <v>0.00449275362318841</v>
      </c>
      <c r="O134" s="0" t="n">
        <f aca="false">$B134/O$1</f>
        <v>0.00413333333333333</v>
      </c>
      <c r="P134" s="0" t="n">
        <f aca="false">$B134/P$1</f>
        <v>0.00382716049382716</v>
      </c>
      <c r="Q134" s="0" t="n">
        <f aca="false">$B134/Q$1</f>
        <v>0.0035632183908046</v>
      </c>
      <c r="R134" s="0" t="n">
        <f aca="false">$B134/R$1</f>
        <v>0.00333333333333333</v>
      </c>
      <c r="S134" s="0" t="n">
        <f aca="false">$B134/S$1</f>
        <v>0.00313131313131313</v>
      </c>
      <c r="T134" s="0" t="n">
        <f aca="false">$B134/T$1</f>
        <v>0.00295238095238095</v>
      </c>
      <c r="U134" s="0" t="n">
        <f aca="false">$B134/U$1</f>
        <v>0.00279279279279279</v>
      </c>
      <c r="V134" s="0" t="n">
        <f aca="false">$B134/V$1</f>
        <v>0.00264957264957265</v>
      </c>
      <c r="W134" s="0" t="n">
        <f aca="false">$B134/W$1</f>
        <v>0.00252032520325203</v>
      </c>
      <c r="X134" s="0" t="n">
        <f aca="false">$B134/X$1</f>
        <v>0.0024031007751938</v>
      </c>
      <c r="Y134" s="0" t="n">
        <f aca="false">$B134/Y$1</f>
        <v>0.0022962962962963</v>
      </c>
      <c r="Z134" s="0" t="n">
        <f aca="false">$B134/Z$1</f>
        <v>0.00219858156028369</v>
      </c>
      <c r="AA134" s="0" t="n">
        <f aca="false">$B134/AA$1</f>
        <v>0.00210884353741497</v>
      </c>
      <c r="AB134" s="0" t="n">
        <f aca="false">$B134/AB$1</f>
        <v>0.00202614379084967</v>
      </c>
      <c r="AC134" s="0" t="n">
        <f aca="false">$B134/AC$1</f>
        <v>0.0019496855345912</v>
      </c>
      <c r="AD134" s="0" t="n">
        <f aca="false">$B134/AD$1</f>
        <v>0.00187878787878788</v>
      </c>
      <c r="AE134" s="0" t="n">
        <f aca="false">$B134/AE$1</f>
        <v>0.00181286549707602</v>
      </c>
      <c r="AF134" s="0" t="n">
        <f aca="false">$B134/AF$1</f>
        <v>0.00175141242937853</v>
      </c>
      <c r="AG134" s="0" t="n">
        <f aca="false">$B134/AG$1</f>
        <v>0.00169398907103825</v>
      </c>
      <c r="AH134" s="0" t="n">
        <f aca="false">$B134/AH$1</f>
        <v>0.00164021164021164</v>
      </c>
      <c r="AI134" s="0" t="n">
        <f aca="false">$B134/AI$1</f>
        <v>0.00158974358974359</v>
      </c>
      <c r="AJ134" s="0" t="n">
        <f aca="false">$B134/AJ$1</f>
        <v>0.00154228855721393</v>
      </c>
      <c r="AK134" s="0" t="n">
        <f aca="false">$B134/AK$1</f>
        <v>0.0014975845410628</v>
      </c>
      <c r="AL134" s="0" t="n">
        <f aca="false">$B134/AL$1</f>
        <v>0.00145539906103286</v>
      </c>
      <c r="AM134" s="0" t="n">
        <f aca="false">$B134/AM$1</f>
        <v>0.00141552511415525</v>
      </c>
      <c r="AN134" s="0" t="n">
        <f aca="false">$B134/AN$1</f>
        <v>0.00137777777777778</v>
      </c>
      <c r="AO134" s="0" t="n">
        <f aca="false">$B134/AO$1</f>
        <v>0.00134199134199134</v>
      </c>
      <c r="AP134" s="0" t="n">
        <f aca="false">$B134/AP$1</f>
        <v>0.00130801687763713</v>
      </c>
      <c r="AQ134" s="0" t="n">
        <f aca="false">$B134/AQ$1</f>
        <v>0.00127572016460905</v>
      </c>
      <c r="AR134" s="0" t="n">
        <f aca="false">$B134/AR$1</f>
        <v>0.00124497991967872</v>
      </c>
      <c r="AS134" s="0" t="n">
        <f aca="false">$B134/AS$1</f>
        <v>0.0012156862745098</v>
      </c>
      <c r="AT134" s="0" t="n">
        <f aca="false">$B134/AT$1</f>
        <v>0.00118773946360153</v>
      </c>
      <c r="AU134" s="0" t="n">
        <f aca="false">$B134/AU$1</f>
        <v>0.00116104868913858</v>
      </c>
      <c r="AV134" s="0" t="n">
        <f aca="false">$B134/AV$1</f>
        <v>0.00113553113553114</v>
      </c>
      <c r="AW134" s="0" t="n">
        <f aca="false">$B134/AW$1</f>
        <v>0.00111111111111111</v>
      </c>
      <c r="AX134" s="0" t="n">
        <f aca="false">$B134/AX$1</f>
        <v>0.00108771929824561</v>
      </c>
      <c r="AY134" s="0" t="n">
        <f aca="false">$B134/AY$1</f>
        <v>0.00106529209621993</v>
      </c>
      <c r="AZ134" s="0" t="n">
        <f aca="false">$B134/AZ$1</f>
        <v>0.00104377104377104</v>
      </c>
      <c r="BA134" s="0" t="n">
        <f aca="false">$B134/BA$1</f>
        <v>0.00102310231023102</v>
      </c>
      <c r="BB134" s="0" t="n">
        <f aca="false">$B134/BB$1</f>
        <v>0.00100323624595469</v>
      </c>
      <c r="BC134" s="0" t="n">
        <f aca="false">$B134/BC$1</f>
        <v>0.000984126984126984</v>
      </c>
      <c r="BD134" s="0" t="n">
        <f aca="false">$B134/BD$1</f>
        <v>0.000965732087227414</v>
      </c>
      <c r="BE134" s="0" t="n">
        <f aca="false">$B134/BE$1</f>
        <v>0.000948012232415902</v>
      </c>
      <c r="BF134" s="0" t="n">
        <f aca="false">$B134/BF$1</f>
        <v>0.000930930930930931</v>
      </c>
      <c r="BG134" s="0" t="n">
        <f aca="false">$B134/BG$1</f>
        <v>0.000914454277286136</v>
      </c>
      <c r="BH134" s="0" t="n">
        <f aca="false">$B134/BH$1</f>
        <v>0.000898550724637681</v>
      </c>
      <c r="BI134" s="0" t="n">
        <f aca="false">$B134/BI$1</f>
        <v>0.000883190883190883</v>
      </c>
      <c r="BJ134" s="0" t="n">
        <f aca="false">$B134/BJ$1</f>
        <v>0.000868347338935574</v>
      </c>
      <c r="BL134" s="0" t="n">
        <f aca="false">IF($B$129=1,COUNTIF(C134:BJ134,"&gt;="&amp;$C$129),0)</f>
        <v>13</v>
      </c>
      <c r="BM134" s="0" t="n">
        <f aca="false">IF($B$129=1,IF(OR(BS134&gt;=Settings!$B$5,Settings!$C$18&gt;0),MAX(BL134,Settings!$C$18),0),0)</f>
        <v>13</v>
      </c>
      <c r="BN134" s="0" t="n">
        <f aca="false">IF($B$129=1,IF(OR(BS134&gt;=Settings!$B$5,Settings!$C$18&gt;0),MAX(0,(2*MAX(BL134,Settings!$C$18)+1)*$C$129-BS134),MAX(0,Settings!$B$5-BS134)),"")</f>
        <v>0.00826666666666667</v>
      </c>
      <c r="BO134" s="0" t="n">
        <f aca="false">IF($B$129=1,IF(OR(BS134&gt;=Settings!$B$5,Settings!$C$18&gt;0),IF(BL134&lt;=Settings!$C$18,"Protected by electorates",IF(Settings!$C$18=0,MIN(BS134-(2*BL134-1)*$D$129,BS134-Settings!$B$5),BS134-(2*BL134-1)*$D$129)),""),"")</f>
        <v>0.000112721417069223</v>
      </c>
      <c r="BP134" s="0" t="n">
        <f aca="false">IF($B$129=1,IF(OR(BS134&gt;=Settings!$B$5,Settings!$C$18&gt;0),MAX(0,MIN(1,(BS134/$C$129-(2*MAX(BL134,Settings!$C$18)-1))/2)),MIN(1,BS134/Settings!$B$5)),"")</f>
        <v>0</v>
      </c>
      <c r="BQ134" s="0" t="n">
        <f aca="false">IF(AND($B$129=1,COUNTIF(C134:BJ134,$C$129)&gt;0),1,0)</f>
        <v>1</v>
      </c>
      <c r="BR134" s="0" t="n">
        <f aca="false">IF(AND($B$129=1,COUNTIF(C134:BJ134,$D$129)&gt;0),1,0)</f>
        <v>0</v>
      </c>
      <c r="BS134" s="0" t="n">
        <f aca="false">N(IF(Polls!L20="",Polls!L37,Polls!L20))</f>
        <v>0.103333333333333</v>
      </c>
      <c r="BT134" s="0" t="str">
        <f aca="false">IF(OR(BS134&gt;=Settings!$B$5,Settings!$C$18&gt;0),"Next seat","Threshold")</f>
        <v>Next seat</v>
      </c>
    </row>
    <row r="135" customFormat="false" ht="15" hidden="false" customHeight="false" outlineLevel="0" collapsed="false">
      <c r="A135" s="0" t="s">
        <v>50</v>
      </c>
      <c r="B135" s="0" t="n">
        <f aca="false">IF(OR(BS135&gt;=Settings!$B$5,Settings!$C$19&gt;0),BS135,0)</f>
        <v>0.0145</v>
      </c>
      <c r="C135" s="0" t="n">
        <f aca="false">$B135/C$1</f>
        <v>0.0145</v>
      </c>
      <c r="D135" s="0" t="n">
        <f aca="false">$B135/D$1</f>
        <v>0.00483333333333333</v>
      </c>
      <c r="E135" s="0" t="n">
        <f aca="false">$B135/E$1</f>
        <v>0.0029</v>
      </c>
      <c r="F135" s="0" t="n">
        <f aca="false">$B135/F$1</f>
        <v>0.00207142857142857</v>
      </c>
      <c r="G135" s="0" t="n">
        <f aca="false">$B135/G$1</f>
        <v>0.00161111111111111</v>
      </c>
      <c r="H135" s="0" t="n">
        <f aca="false">$B135/H$1</f>
        <v>0.00131818181818182</v>
      </c>
      <c r="I135" s="0" t="n">
        <f aca="false">$B135/I$1</f>
        <v>0.00111538461538462</v>
      </c>
      <c r="J135" s="0" t="n">
        <f aca="false">$B135/J$1</f>
        <v>0.000966666666666667</v>
      </c>
      <c r="K135" s="0" t="n">
        <f aca="false">$B135/K$1</f>
        <v>0.000852941176470588</v>
      </c>
      <c r="L135" s="0" t="n">
        <f aca="false">$B135/L$1</f>
        <v>0.000763157894736842</v>
      </c>
      <c r="M135" s="0" t="n">
        <f aca="false">$B135/M$1</f>
        <v>0.000690476190476191</v>
      </c>
      <c r="N135" s="0" t="n">
        <f aca="false">$B135/N$1</f>
        <v>0.000630434782608696</v>
      </c>
      <c r="O135" s="0" t="n">
        <f aca="false">$B135/O$1</f>
        <v>0.00058</v>
      </c>
      <c r="P135" s="0" t="n">
        <f aca="false">$B135/P$1</f>
        <v>0.000537037037037037</v>
      </c>
      <c r="Q135" s="0" t="n">
        <f aca="false">$B135/Q$1</f>
        <v>0.0005</v>
      </c>
      <c r="R135" s="0" t="n">
        <f aca="false">$B135/R$1</f>
        <v>0.000467741935483871</v>
      </c>
      <c r="S135" s="0" t="n">
        <f aca="false">$B135/S$1</f>
        <v>0.000439393939393939</v>
      </c>
      <c r="T135" s="0" t="n">
        <f aca="false">$B135/T$1</f>
        <v>0.000414285714285714</v>
      </c>
      <c r="U135" s="0" t="n">
        <f aca="false">$B135/U$1</f>
        <v>0.000391891891891892</v>
      </c>
      <c r="V135" s="0" t="n">
        <f aca="false">$B135/V$1</f>
        <v>0.000371794871794872</v>
      </c>
      <c r="W135" s="0" t="n">
        <f aca="false">$B135/W$1</f>
        <v>0.000353658536585366</v>
      </c>
      <c r="X135" s="0" t="n">
        <f aca="false">$B135/X$1</f>
        <v>0.000337209302325581</v>
      </c>
      <c r="Y135" s="0" t="n">
        <f aca="false">$B135/Y$1</f>
        <v>0.000322222222222222</v>
      </c>
      <c r="Z135" s="0" t="n">
        <f aca="false">$B135/Z$1</f>
        <v>0.000308510638297872</v>
      </c>
      <c r="AA135" s="0" t="n">
        <f aca="false">$B135/AA$1</f>
        <v>0.000295918367346939</v>
      </c>
      <c r="AB135" s="0" t="n">
        <f aca="false">$B135/AB$1</f>
        <v>0.000284313725490196</v>
      </c>
      <c r="AC135" s="0" t="n">
        <f aca="false">$B135/AC$1</f>
        <v>0.000273584905660377</v>
      </c>
      <c r="AD135" s="0" t="n">
        <f aca="false">$B135/AD$1</f>
        <v>0.000263636363636364</v>
      </c>
      <c r="AE135" s="0" t="n">
        <f aca="false">$B135/AE$1</f>
        <v>0.000254385964912281</v>
      </c>
      <c r="AF135" s="0" t="n">
        <f aca="false">$B135/AF$1</f>
        <v>0.000245762711864407</v>
      </c>
      <c r="AG135" s="0" t="n">
        <f aca="false">$B135/AG$1</f>
        <v>0.000237704918032787</v>
      </c>
      <c r="AH135" s="0" t="n">
        <f aca="false">$B135/AH$1</f>
        <v>0.00023015873015873</v>
      </c>
      <c r="AI135" s="0" t="n">
        <f aca="false">$B135/AI$1</f>
        <v>0.000223076923076923</v>
      </c>
      <c r="AJ135" s="0" t="n">
        <f aca="false">$B135/AJ$1</f>
        <v>0.000216417910447761</v>
      </c>
      <c r="AK135" s="0" t="n">
        <f aca="false">$B135/AK$1</f>
        <v>0.000210144927536232</v>
      </c>
      <c r="AL135" s="0" t="n">
        <f aca="false">$B135/AL$1</f>
        <v>0.000204225352112676</v>
      </c>
      <c r="AM135" s="0" t="n">
        <f aca="false">$B135/AM$1</f>
        <v>0.000198630136986301</v>
      </c>
      <c r="AN135" s="0" t="n">
        <f aca="false">$B135/AN$1</f>
        <v>0.000193333333333333</v>
      </c>
      <c r="AO135" s="0" t="n">
        <f aca="false">$B135/AO$1</f>
        <v>0.000188311688311688</v>
      </c>
      <c r="AP135" s="0" t="n">
        <f aca="false">$B135/AP$1</f>
        <v>0.000183544303797468</v>
      </c>
      <c r="AQ135" s="0" t="n">
        <f aca="false">$B135/AQ$1</f>
        <v>0.000179012345679012</v>
      </c>
      <c r="AR135" s="0" t="n">
        <f aca="false">$B135/AR$1</f>
        <v>0.000174698795180723</v>
      </c>
      <c r="AS135" s="0" t="n">
        <f aca="false">$B135/AS$1</f>
        <v>0.000170588235294118</v>
      </c>
      <c r="AT135" s="0" t="n">
        <f aca="false">$B135/AT$1</f>
        <v>0.000166666666666667</v>
      </c>
      <c r="AU135" s="0" t="n">
        <f aca="false">$B135/AU$1</f>
        <v>0.000162921348314607</v>
      </c>
      <c r="AV135" s="0" t="n">
        <f aca="false">$B135/AV$1</f>
        <v>0.000159340659340659</v>
      </c>
      <c r="AW135" s="0" t="n">
        <f aca="false">$B135/AW$1</f>
        <v>0.000155913978494624</v>
      </c>
      <c r="AX135" s="0" t="n">
        <f aca="false">$B135/AX$1</f>
        <v>0.000152631578947368</v>
      </c>
      <c r="AY135" s="0" t="n">
        <f aca="false">$B135/AY$1</f>
        <v>0.000149484536082474</v>
      </c>
      <c r="AZ135" s="0" t="n">
        <f aca="false">$B135/AZ$1</f>
        <v>0.000146464646464646</v>
      </c>
      <c r="BA135" s="0" t="n">
        <f aca="false">$B135/BA$1</f>
        <v>0.000143564356435644</v>
      </c>
      <c r="BB135" s="0" t="n">
        <f aca="false">$B135/BB$1</f>
        <v>0.000140776699029126</v>
      </c>
      <c r="BC135" s="0" t="n">
        <f aca="false">$B135/BC$1</f>
        <v>0.000138095238095238</v>
      </c>
      <c r="BD135" s="0" t="n">
        <f aca="false">$B135/BD$1</f>
        <v>0.000135514018691589</v>
      </c>
      <c r="BE135" s="0" t="n">
        <f aca="false">$B135/BE$1</f>
        <v>0.00013302752293578</v>
      </c>
      <c r="BF135" s="0" t="n">
        <f aca="false">$B135/BF$1</f>
        <v>0.000130630630630631</v>
      </c>
      <c r="BG135" s="0" t="n">
        <f aca="false">$B135/BG$1</f>
        <v>0.000128318584070796</v>
      </c>
      <c r="BH135" s="0" t="n">
        <f aca="false">$B135/BH$1</f>
        <v>0.000126086956521739</v>
      </c>
      <c r="BI135" s="0" t="n">
        <f aca="false">$B135/BI$1</f>
        <v>0.000123931623931624</v>
      </c>
      <c r="BJ135" s="0" t="n">
        <f aca="false">$B135/BJ$1</f>
        <v>0.000121848739495798</v>
      </c>
      <c r="BL135" s="0" t="n">
        <f aca="false">IF($B$129=1,COUNTIF(C135:BJ135,"&gt;="&amp;$C$129),0)</f>
        <v>2</v>
      </c>
      <c r="BM135" s="0" t="n">
        <f aca="false">IF($B$129=1,IF(OR(BS135&gt;=Settings!$B$5,Settings!$C$19&gt;0),MAX(BL135,Settings!$C$19),0),0)</f>
        <v>4</v>
      </c>
      <c r="BN135" s="0" t="n">
        <f aca="false">IF($B$129=1,IF(OR(BS135&gt;=Settings!$B$5,Settings!$C$19&gt;0),MAX(0,(2*MAX(BL135,Settings!$C$19)+1)*$C$129-BS135),MAX(0,Settings!$B$5-BS135)),"")</f>
        <v>0.0227</v>
      </c>
      <c r="BO135" s="0" t="str">
        <f aca="false">IF($B$129=1,IF(OR(BS135&gt;=Settings!$B$5,Settings!$C$19&gt;0),IF(BL135&lt;=Settings!$C$19,"Protected by electorates",IF(Settings!$C$19=0,MIN(BS135-(2*BL135-1)*$D$129,BS135-Settings!$B$5),BS135-(2*BL135-1)*$D$129)),""),"")</f>
        <v>Protected by electorates</v>
      </c>
      <c r="BP135" s="0" t="n">
        <f aca="false">IF($B$129=1,IF(OR(BS135&gt;=Settings!$B$5,Settings!$C$19&gt;0),MAX(0,MIN(1,(BS135/$C$129-(2*MAX(BL135,Settings!$C$19)-1))/2)),MIN(1,BS135/Settings!$B$5)),"")</f>
        <v>0</v>
      </c>
      <c r="BQ135" s="0" t="n">
        <f aca="false">IF(AND($B$129=1,COUNTIF(C135:BJ135,$C$129)&gt;0),1,0)</f>
        <v>0</v>
      </c>
      <c r="BR135" s="0" t="n">
        <f aca="false">IF(AND($B$129=1,COUNTIF(C135:BJ135,$D$129)&gt;0),1,0)</f>
        <v>0</v>
      </c>
      <c r="BS135" s="0" t="n">
        <f aca="false">N(IF(Polls!M20="",Polls!M37,Polls!M20))</f>
        <v>0.0145</v>
      </c>
      <c r="BT135" s="0" t="str">
        <f aca="false">IF(OR(BS135&gt;=Settings!$B$5,Settings!$C$19&gt;0),"Next seat","Threshold")</f>
        <v>Next seat</v>
      </c>
    </row>
    <row r="136" customFormat="false" ht="15" hidden="false" customHeight="false" outlineLevel="0" collapsed="false">
      <c r="A136" s="0" t="s">
        <v>52</v>
      </c>
      <c r="B136" s="0" t="n">
        <f aca="false">IF(OR(BS136&gt;=Settings!$B$5,Settings!$C$20&gt;0),BS136,0)</f>
        <v>0.0614444444444445</v>
      </c>
      <c r="C136" s="0" t="n">
        <f aca="false">$B136/C$1</f>
        <v>0.0614444444444445</v>
      </c>
      <c r="D136" s="0" t="n">
        <f aca="false">$B136/D$1</f>
        <v>0.0204814814814815</v>
      </c>
      <c r="E136" s="0" t="n">
        <f aca="false">$B136/E$1</f>
        <v>0.0122888888888889</v>
      </c>
      <c r="F136" s="0" t="n">
        <f aca="false">$B136/F$1</f>
        <v>0.00877777777777778</v>
      </c>
      <c r="G136" s="0" t="n">
        <f aca="false">$B136/G$1</f>
        <v>0.00682716049382716</v>
      </c>
      <c r="H136" s="0" t="n">
        <f aca="false">$B136/H$1</f>
        <v>0.00558585858585859</v>
      </c>
      <c r="I136" s="0" t="n">
        <f aca="false">$B136/I$1</f>
        <v>0.00472649572649573</v>
      </c>
      <c r="J136" s="0" t="n">
        <f aca="false">$B136/J$1</f>
        <v>0.0040962962962963</v>
      </c>
      <c r="K136" s="0" t="n">
        <f aca="false">$B136/K$1</f>
        <v>0.00361437908496732</v>
      </c>
      <c r="L136" s="0" t="n">
        <f aca="false">$B136/L$1</f>
        <v>0.00323391812865497</v>
      </c>
      <c r="M136" s="0" t="n">
        <f aca="false">$B136/M$1</f>
        <v>0.00292592592592593</v>
      </c>
      <c r="N136" s="0" t="n">
        <f aca="false">$B136/N$1</f>
        <v>0.00267149758454106</v>
      </c>
      <c r="O136" s="0" t="n">
        <f aca="false">$B136/O$1</f>
        <v>0.00245777777777778</v>
      </c>
      <c r="P136" s="0" t="n">
        <f aca="false">$B136/P$1</f>
        <v>0.00227572016460905</v>
      </c>
      <c r="Q136" s="0" t="n">
        <f aca="false">$B136/Q$1</f>
        <v>0.00211877394636015</v>
      </c>
      <c r="R136" s="0" t="n">
        <f aca="false">$B136/R$1</f>
        <v>0.0019820788530466</v>
      </c>
      <c r="S136" s="0" t="n">
        <f aca="false">$B136/S$1</f>
        <v>0.00186195286195286</v>
      </c>
      <c r="T136" s="0" t="n">
        <f aca="false">$B136/T$1</f>
        <v>0.00175555555555556</v>
      </c>
      <c r="U136" s="0" t="n">
        <f aca="false">$B136/U$1</f>
        <v>0.00166066066066066</v>
      </c>
      <c r="V136" s="0" t="n">
        <f aca="false">$B136/V$1</f>
        <v>0.00157549857549858</v>
      </c>
      <c r="W136" s="0" t="n">
        <f aca="false">$B136/W$1</f>
        <v>0.00149864498644986</v>
      </c>
      <c r="X136" s="0" t="n">
        <f aca="false">$B136/X$1</f>
        <v>0.00142894056847545</v>
      </c>
      <c r="Y136" s="0" t="n">
        <f aca="false">$B136/Y$1</f>
        <v>0.00136543209876543</v>
      </c>
      <c r="Z136" s="0" t="n">
        <f aca="false">$B136/Z$1</f>
        <v>0.00130732860520095</v>
      </c>
      <c r="AA136" s="0" t="n">
        <f aca="false">$B136/AA$1</f>
        <v>0.00125396825396825</v>
      </c>
      <c r="AB136" s="0" t="n">
        <f aca="false">$B136/AB$1</f>
        <v>0.00120479302832244</v>
      </c>
      <c r="AC136" s="0" t="n">
        <f aca="false">$B136/AC$1</f>
        <v>0.00115932914046122</v>
      </c>
      <c r="AD136" s="0" t="n">
        <f aca="false">$B136/AD$1</f>
        <v>0.00111717171717172</v>
      </c>
      <c r="AE136" s="0" t="n">
        <f aca="false">$B136/AE$1</f>
        <v>0.00107797270955166</v>
      </c>
      <c r="AF136" s="0" t="n">
        <f aca="false">$B136/AF$1</f>
        <v>0.00104143126177024</v>
      </c>
      <c r="AG136" s="0" t="n">
        <f aca="false">$B136/AG$1</f>
        <v>0.00100728597449909</v>
      </c>
      <c r="AH136" s="0" t="n">
        <f aca="false">$B136/AH$1</f>
        <v>0.000975308641975309</v>
      </c>
      <c r="AI136" s="0" t="n">
        <f aca="false">$B136/AI$1</f>
        <v>0.000945299145299145</v>
      </c>
      <c r="AJ136" s="0" t="n">
        <f aca="false">$B136/AJ$1</f>
        <v>0.000917081260364843</v>
      </c>
      <c r="AK136" s="0" t="n">
        <f aca="false">$B136/AK$1</f>
        <v>0.000890499194847021</v>
      </c>
      <c r="AL136" s="0" t="n">
        <f aca="false">$B136/AL$1</f>
        <v>0.000865414710485133</v>
      </c>
      <c r="AM136" s="0" t="n">
        <f aca="false">$B136/AM$1</f>
        <v>0.000841704718417047</v>
      </c>
      <c r="AN136" s="0" t="n">
        <f aca="false">$B136/AN$1</f>
        <v>0.000819259259259259</v>
      </c>
      <c r="AO136" s="0" t="n">
        <f aca="false">$B136/AO$1</f>
        <v>0.000797979797979798</v>
      </c>
      <c r="AP136" s="0" t="n">
        <f aca="false">$B136/AP$1</f>
        <v>0.000777777777777778</v>
      </c>
      <c r="AQ136" s="0" t="n">
        <f aca="false">$B136/AQ$1</f>
        <v>0.000758573388203018</v>
      </c>
      <c r="AR136" s="0" t="n">
        <f aca="false">$B136/AR$1</f>
        <v>0.000740294511378849</v>
      </c>
      <c r="AS136" s="0" t="n">
        <f aca="false">$B136/AS$1</f>
        <v>0.000722875816993464</v>
      </c>
      <c r="AT136" s="0" t="n">
        <f aca="false">$B136/AT$1</f>
        <v>0.000706257982120051</v>
      </c>
      <c r="AU136" s="0" t="n">
        <f aca="false">$B136/AU$1</f>
        <v>0.000690387016229713</v>
      </c>
      <c r="AV136" s="0" t="n">
        <f aca="false">$B136/AV$1</f>
        <v>0.000675213675213675</v>
      </c>
      <c r="AW136" s="0" t="n">
        <f aca="false">$B136/AW$1</f>
        <v>0.000660692951015532</v>
      </c>
      <c r="AX136" s="0" t="n">
        <f aca="false">$B136/AX$1</f>
        <v>0.000646783625730994</v>
      </c>
      <c r="AY136" s="0" t="n">
        <f aca="false">$B136/AY$1</f>
        <v>0.000633447880870561</v>
      </c>
      <c r="AZ136" s="0" t="n">
        <f aca="false">$B136/AZ$1</f>
        <v>0.000620650953984287</v>
      </c>
      <c r="BA136" s="0" t="n">
        <f aca="false">$B136/BA$1</f>
        <v>0.000608360836083608</v>
      </c>
      <c r="BB136" s="0" t="n">
        <f aca="false">$B136/BB$1</f>
        <v>0.000596548004314995</v>
      </c>
      <c r="BC136" s="0" t="n">
        <f aca="false">$B136/BC$1</f>
        <v>0.000585185185185185</v>
      </c>
      <c r="BD136" s="0" t="n">
        <f aca="false">$B136/BD$1</f>
        <v>0.000574247144340602</v>
      </c>
      <c r="BE136" s="0" t="n">
        <f aca="false">$B136/BE$1</f>
        <v>0.000563710499490316</v>
      </c>
      <c r="BF136" s="0" t="n">
        <f aca="false">$B136/BF$1</f>
        <v>0.000553553553553554</v>
      </c>
      <c r="BG136" s="0" t="n">
        <f aca="false">$B136/BG$1</f>
        <v>0.000543756145526057</v>
      </c>
      <c r="BH136" s="0" t="n">
        <f aca="false">$B136/BH$1</f>
        <v>0.000534299516908213</v>
      </c>
      <c r="BI136" s="0" t="n">
        <f aca="false">$B136/BI$1</f>
        <v>0.000525166191832859</v>
      </c>
      <c r="BJ136" s="0" t="n">
        <f aca="false">$B136/BJ$1</f>
        <v>0.000516339869281046</v>
      </c>
      <c r="BL136" s="0" t="n">
        <f aca="false">IF($B$129=1,COUNTIF(C136:BJ136,"&gt;="&amp;$C$129),0)</f>
        <v>7</v>
      </c>
      <c r="BM136" s="0" t="n">
        <f aca="false">IF($B$129=1,IF(OR(BS136&gt;=Settings!$B$5,Settings!$C$20&gt;0),MAX(BL136,Settings!$C$20),0),0)</f>
        <v>7</v>
      </c>
      <c r="BN136" s="0" t="n">
        <f aca="false">IF($B$129=1,IF(OR(BS136&gt;=Settings!$B$5,Settings!$C$20&gt;0),MAX(0,(2*MAX(BL136,Settings!$C$20)+1)*$C$129-BS136),MAX(0,Settings!$B$5-BS136)),"")</f>
        <v>0.000555555555555552</v>
      </c>
      <c r="BO136" s="0" t="n">
        <f aca="false">IF($B$129=1,IF(OR(BS136&gt;=Settings!$B$5,Settings!$C$20&gt;0),IF(BL136&lt;=Settings!$C$20,"Protected by electorates",IF(Settings!$C$20=0,MIN(BS136-(2*BL136-1)*$D$129,BS136-Settings!$B$5),BS136-(2*BL136-1)*$D$129)),""),"")</f>
        <v>0.00776972624798712</v>
      </c>
      <c r="BP136" s="0" t="n">
        <f aca="false">IF($B$129=1,IF(OR(BS136&gt;=Settings!$B$5,Settings!$C$20&gt;0),MAX(0,MIN(1,(BS136/$C$129-(2*MAX(BL136,Settings!$C$20)-1))/2)),MIN(1,BS136/Settings!$B$5)),"")</f>
        <v>0.932795698924731</v>
      </c>
      <c r="BQ136" s="0" t="n">
        <f aca="false">IF(AND($B$129=1,COUNTIF(C136:BJ136,$C$129)&gt;0),1,0)</f>
        <v>0</v>
      </c>
      <c r="BR136" s="0" t="n">
        <f aca="false">IF(AND($B$129=1,COUNTIF(C136:BJ136,$D$129)&gt;0),1,0)</f>
        <v>0</v>
      </c>
      <c r="BS136" s="0" t="n">
        <f aca="false">N(IF(Polls!N20="",Polls!N37,Polls!N20))</f>
        <v>0.0614444444444445</v>
      </c>
      <c r="BT136" s="0" t="str">
        <f aca="false">IF(OR(BS136&gt;=Settings!$B$5,Settings!$C$20&gt;0),"Next seat","Threshold")</f>
        <v>Next seat</v>
      </c>
    </row>
    <row r="138" customFormat="false" ht="15" hidden="false" customHeight="false" outlineLevel="0" collapsed="false">
      <c r="A138" s="41" t="n">
        <f aca="false">Polls!A21</f>
        <v>0</v>
      </c>
      <c r="B138" s="17" t="n">
        <f aca="false">IF(SUM(BS139:BS145)&gt;0,1,0)</f>
        <v>1</v>
      </c>
      <c r="C138" s="17" t="n">
        <f aca="false">IF(B138=1,LARGE(C139:BJ145,Settings!$B$4),0)</f>
        <v>0.00413333333333333</v>
      </c>
      <c r="D138" s="17" t="n">
        <f aca="false">IF(B138=1,LARGE(C139:BJ145,Settings!$B$4+1),0)</f>
        <v>0.00412882447665056</v>
      </c>
      <c r="E138" s="0" t="str">
        <f aca="false">IF(B138=1,IFERROR(INDEX(A139:A145,MATCH(1,BQ139:BQ145,0)),""),"")</f>
        <v>NZF</v>
      </c>
      <c r="F138" s="0" t="str">
        <f aca="false">IF(B138=1,IFERROR(INDEX(A139:A145,MATCH(1,BR139:BR145,0)),""),"")</f>
        <v>NAT</v>
      </c>
      <c r="G138" s="17" t="n">
        <f aca="false">IF(B138=1,SUM(BM139:BM145)+Settings!$B$10,"")</f>
        <v>122</v>
      </c>
    </row>
    <row r="139" customFormat="false" ht="15" hidden="false" customHeight="false" outlineLevel="0" collapsed="false">
      <c r="A139" s="0" t="s">
        <v>41</v>
      </c>
      <c r="B139" s="0" t="n">
        <f aca="false">IF(OR(BS139&gt;=Settings!$B$5,Settings!$C$14&gt;0),BS139,0)</f>
        <v>0.284888888888889</v>
      </c>
      <c r="C139" s="0" t="n">
        <f aca="false">$B139/C$1</f>
        <v>0.284888888888889</v>
      </c>
      <c r="D139" s="0" t="n">
        <f aca="false">$B139/D$1</f>
        <v>0.094962962962963</v>
      </c>
      <c r="E139" s="0" t="n">
        <f aca="false">$B139/E$1</f>
        <v>0.0569777777777778</v>
      </c>
      <c r="F139" s="0" t="n">
        <f aca="false">$B139/F$1</f>
        <v>0.0406984126984127</v>
      </c>
      <c r="G139" s="0" t="n">
        <f aca="false">$B139/G$1</f>
        <v>0.0316543209876543</v>
      </c>
      <c r="H139" s="0" t="n">
        <f aca="false">$B139/H$1</f>
        <v>0.0258989898989899</v>
      </c>
      <c r="I139" s="0" t="n">
        <f aca="false">$B139/I$1</f>
        <v>0.0219145299145299</v>
      </c>
      <c r="J139" s="0" t="n">
        <f aca="false">$B139/J$1</f>
        <v>0.0189925925925926</v>
      </c>
      <c r="K139" s="0" t="n">
        <f aca="false">$B139/K$1</f>
        <v>0.0167581699346405</v>
      </c>
      <c r="L139" s="0" t="n">
        <f aca="false">$B139/L$1</f>
        <v>0.0149941520467836</v>
      </c>
      <c r="M139" s="0" t="n">
        <f aca="false">$B139/M$1</f>
        <v>0.0135661375661376</v>
      </c>
      <c r="N139" s="0" t="n">
        <f aca="false">$B139/N$1</f>
        <v>0.0123864734299517</v>
      </c>
      <c r="O139" s="0" t="n">
        <f aca="false">$B139/O$1</f>
        <v>0.0113955555555556</v>
      </c>
      <c r="P139" s="0" t="n">
        <f aca="false">$B139/P$1</f>
        <v>0.0105514403292181</v>
      </c>
      <c r="Q139" s="0" t="n">
        <f aca="false">$B139/Q$1</f>
        <v>0.00982375478927203</v>
      </c>
      <c r="R139" s="0" t="n">
        <f aca="false">$B139/R$1</f>
        <v>0.0091899641577061</v>
      </c>
      <c r="S139" s="0" t="n">
        <f aca="false">$B139/S$1</f>
        <v>0.00863299663299663</v>
      </c>
      <c r="T139" s="0" t="n">
        <f aca="false">$B139/T$1</f>
        <v>0.00813968253968254</v>
      </c>
      <c r="U139" s="0" t="n">
        <f aca="false">$B139/U$1</f>
        <v>0.0076996996996997</v>
      </c>
      <c r="V139" s="0" t="n">
        <f aca="false">$B139/V$1</f>
        <v>0.00730484330484331</v>
      </c>
      <c r="W139" s="0" t="n">
        <f aca="false">$B139/W$1</f>
        <v>0.00694850948509485</v>
      </c>
      <c r="X139" s="0" t="n">
        <f aca="false">$B139/X$1</f>
        <v>0.00662532299741602</v>
      </c>
      <c r="Y139" s="0" t="n">
        <f aca="false">$B139/Y$1</f>
        <v>0.00633086419753086</v>
      </c>
      <c r="Z139" s="0" t="n">
        <f aca="false">$B139/Z$1</f>
        <v>0.00606146572104019</v>
      </c>
      <c r="AA139" s="0" t="n">
        <f aca="false">$B139/AA$1</f>
        <v>0.0058140589569161</v>
      </c>
      <c r="AB139" s="0" t="n">
        <f aca="false">$B139/AB$1</f>
        <v>0.00558605664488018</v>
      </c>
      <c r="AC139" s="0" t="n">
        <f aca="false">$B139/AC$1</f>
        <v>0.00537526205450734</v>
      </c>
      <c r="AD139" s="0" t="n">
        <f aca="false">$B139/AD$1</f>
        <v>0.00517979797979798</v>
      </c>
      <c r="AE139" s="0" t="n">
        <f aca="false">$B139/AE$1</f>
        <v>0.00499805068226121</v>
      </c>
      <c r="AF139" s="0" t="n">
        <f aca="false">$B139/AF$1</f>
        <v>0.0048286252354049</v>
      </c>
      <c r="AG139" s="0" t="n">
        <f aca="false">$B139/AG$1</f>
        <v>0.00467030965391621</v>
      </c>
      <c r="AH139" s="0" t="n">
        <f aca="false">$B139/AH$1</f>
        <v>0.00452204585537919</v>
      </c>
      <c r="AI139" s="0" t="n">
        <f aca="false">$B139/AI$1</f>
        <v>0.00438290598290598</v>
      </c>
      <c r="AJ139" s="0" t="n">
        <f aca="false">$B139/AJ$1</f>
        <v>0.00425207296849088</v>
      </c>
      <c r="AK139" s="0" t="n">
        <f aca="false">$B139/AK$1</f>
        <v>0.00412882447665056</v>
      </c>
      <c r="AL139" s="0" t="n">
        <f aca="false">$B139/AL$1</f>
        <v>0.00401251956181534</v>
      </c>
      <c r="AM139" s="0" t="n">
        <f aca="false">$B139/AM$1</f>
        <v>0.00390258751902588</v>
      </c>
      <c r="AN139" s="0" t="n">
        <f aca="false">$B139/AN$1</f>
        <v>0.00379851851851852</v>
      </c>
      <c r="AO139" s="0" t="n">
        <f aca="false">$B139/AO$1</f>
        <v>0.0036998556998557</v>
      </c>
      <c r="AP139" s="0" t="n">
        <f aca="false">$B139/AP$1</f>
        <v>0.00360618846694796</v>
      </c>
      <c r="AQ139" s="0" t="n">
        <f aca="false">$B139/AQ$1</f>
        <v>0.00351714677640604</v>
      </c>
      <c r="AR139" s="0" t="n">
        <f aca="false">$B139/AR$1</f>
        <v>0.00343239625167336</v>
      </c>
      <c r="AS139" s="0" t="n">
        <f aca="false">$B139/AS$1</f>
        <v>0.00335163398692811</v>
      </c>
      <c r="AT139" s="0" t="n">
        <f aca="false">$B139/AT$1</f>
        <v>0.00327458492975734</v>
      </c>
      <c r="AU139" s="0" t="n">
        <f aca="false">$B139/AU$1</f>
        <v>0.00320099875156055</v>
      </c>
      <c r="AV139" s="0" t="n">
        <f aca="false">$B139/AV$1</f>
        <v>0.00313064713064713</v>
      </c>
      <c r="AW139" s="0" t="n">
        <f aca="false">$B139/AW$1</f>
        <v>0.00306332138590203</v>
      </c>
      <c r="AX139" s="0" t="n">
        <f aca="false">$B139/AX$1</f>
        <v>0.00299883040935673</v>
      </c>
      <c r="AY139" s="0" t="n">
        <f aca="false">$B139/AY$1</f>
        <v>0.00293699885452463</v>
      </c>
      <c r="AZ139" s="0" t="n">
        <f aca="false">$B139/AZ$1</f>
        <v>0.00287766554433221</v>
      </c>
      <c r="BA139" s="0" t="n">
        <f aca="false">$B139/BA$1</f>
        <v>0.00282068206820682</v>
      </c>
      <c r="BB139" s="0" t="n">
        <f aca="false">$B139/BB$1</f>
        <v>0.00276591154261057</v>
      </c>
      <c r="BC139" s="0" t="n">
        <f aca="false">$B139/BC$1</f>
        <v>0.00271322751322751</v>
      </c>
      <c r="BD139" s="0" t="n">
        <f aca="false">$B139/BD$1</f>
        <v>0.00266251298026999</v>
      </c>
      <c r="BE139" s="0" t="n">
        <f aca="false">$B139/BE$1</f>
        <v>0.00261365953109072</v>
      </c>
      <c r="BF139" s="0" t="n">
        <f aca="false">$B139/BF$1</f>
        <v>0.00256656656656657</v>
      </c>
      <c r="BG139" s="0" t="n">
        <f aca="false">$B139/BG$1</f>
        <v>0.00252114060963619</v>
      </c>
      <c r="BH139" s="0" t="n">
        <f aca="false">$B139/BH$1</f>
        <v>0.00247729468599034</v>
      </c>
      <c r="BI139" s="0" t="n">
        <f aca="false">$B139/BI$1</f>
        <v>0.0024349477682811</v>
      </c>
      <c r="BJ139" s="0" t="n">
        <f aca="false">$B139/BJ$1</f>
        <v>0.00239402427637722</v>
      </c>
      <c r="BL139" s="0" t="n">
        <f aca="false">IF($B$138=1,COUNTIF(C139:BJ139,"&gt;="&amp;$C$138),0)</f>
        <v>34</v>
      </c>
      <c r="BM139" s="0" t="n">
        <f aca="false">IF($B$138=1,IF(OR(BS139&gt;=Settings!$B$5,Settings!$C$14&gt;0),MAX(BL139,Settings!$C$14),0),0)</f>
        <v>34</v>
      </c>
      <c r="BN139" s="0" t="n">
        <f aca="false">IF($B$138=1,IF(OR(BS139&gt;=Settings!$B$5,Settings!$C$14&gt;0),MAX(0,(2*MAX(BL139,Settings!$C$14)+1)*$C$138-BS139),MAX(0,Settings!$B$5-BS139)),"")</f>
        <v>0.000311111111111095</v>
      </c>
      <c r="BO139" s="0" t="n">
        <f aca="false">IF($B$138=1,IF(OR(BS139&gt;=Settings!$B$5,Settings!$C$14&gt;0),IF(BL139&lt;=Settings!$C$14,"Protected by electorates",IF(Settings!$C$14=0,MIN(BS139-(2*BL139-1)*$D$138,BS139-Settings!$B$5),BS139-(2*BL139-1)*$D$138)),""),"")</f>
        <v>0.00825764895330111</v>
      </c>
      <c r="BP139" s="0" t="n">
        <f aca="false">IF($B$138=1,IF(OR(BS139&gt;=Settings!$B$5,Settings!$C$14&gt;0),MAX(0,MIN(1,(BS139/$C$138-(2*MAX(BL139,Settings!$C$14)-1))/2)),MIN(1,BS139/Settings!$B$5)),"")</f>
        <v>0.962365591397848</v>
      </c>
      <c r="BQ139" s="0" t="n">
        <f aca="false">IF(AND($B$138=1,COUNTIF(C139:BJ139,$C$138)&gt;0),1,0)</f>
        <v>0</v>
      </c>
      <c r="BR139" s="0" t="n">
        <f aca="false">IF(AND($B$138=1,COUNTIF(C139:BJ139,$D$138)&gt;0),1,0)</f>
        <v>1</v>
      </c>
      <c r="BS139" s="0" t="n">
        <f aca="false">N(IF(Polls!H21="",Polls!H37,Polls!H21))</f>
        <v>0.284888888888889</v>
      </c>
      <c r="BT139" s="0" t="str">
        <f aca="false">IF(OR(BS139&gt;=Settings!$B$5,Settings!$C$14&gt;0),"Next seat","Threshold")</f>
        <v>Next seat</v>
      </c>
    </row>
    <row r="140" customFormat="false" ht="15" hidden="false" customHeight="false" outlineLevel="0" collapsed="false">
      <c r="A140" s="0" t="s">
        <v>43</v>
      </c>
      <c r="B140" s="0" t="n">
        <f aca="false">IF(OR(BS140&gt;=Settings!$B$5,Settings!$C$15&gt;0),BS140,0)</f>
        <v>0.279333333333333</v>
      </c>
      <c r="C140" s="0" t="n">
        <f aca="false">$B140/C$1</f>
        <v>0.279333333333333</v>
      </c>
      <c r="D140" s="0" t="n">
        <f aca="false">$B140/D$1</f>
        <v>0.0931111111111111</v>
      </c>
      <c r="E140" s="0" t="n">
        <f aca="false">$B140/E$1</f>
        <v>0.0558666666666667</v>
      </c>
      <c r="F140" s="0" t="n">
        <f aca="false">$B140/F$1</f>
        <v>0.0399047619047619</v>
      </c>
      <c r="G140" s="0" t="n">
        <f aca="false">$B140/G$1</f>
        <v>0.031037037037037</v>
      </c>
      <c r="H140" s="0" t="n">
        <f aca="false">$B140/H$1</f>
        <v>0.0253939393939394</v>
      </c>
      <c r="I140" s="0" t="n">
        <f aca="false">$B140/I$1</f>
        <v>0.0214871794871795</v>
      </c>
      <c r="J140" s="0" t="n">
        <f aca="false">$B140/J$1</f>
        <v>0.0186222222222222</v>
      </c>
      <c r="K140" s="0" t="n">
        <f aca="false">$B140/K$1</f>
        <v>0.0164313725490196</v>
      </c>
      <c r="L140" s="0" t="n">
        <f aca="false">$B140/L$1</f>
        <v>0.0147017543859649</v>
      </c>
      <c r="M140" s="0" t="n">
        <f aca="false">$B140/M$1</f>
        <v>0.0133015873015873</v>
      </c>
      <c r="N140" s="0" t="n">
        <f aca="false">$B140/N$1</f>
        <v>0.0121449275362319</v>
      </c>
      <c r="O140" s="0" t="n">
        <f aca="false">$B140/O$1</f>
        <v>0.0111733333333333</v>
      </c>
      <c r="P140" s="0" t="n">
        <f aca="false">$B140/P$1</f>
        <v>0.0103456790123457</v>
      </c>
      <c r="Q140" s="0" t="n">
        <f aca="false">$B140/Q$1</f>
        <v>0.00963218390804598</v>
      </c>
      <c r="R140" s="0" t="n">
        <f aca="false">$B140/R$1</f>
        <v>0.00901075268817204</v>
      </c>
      <c r="S140" s="0" t="n">
        <f aca="false">$B140/S$1</f>
        <v>0.00846464646464647</v>
      </c>
      <c r="T140" s="0" t="n">
        <f aca="false">$B140/T$1</f>
        <v>0.00798095238095238</v>
      </c>
      <c r="U140" s="0" t="n">
        <f aca="false">$B140/U$1</f>
        <v>0.00754954954954955</v>
      </c>
      <c r="V140" s="0" t="n">
        <f aca="false">$B140/V$1</f>
        <v>0.00716239316239316</v>
      </c>
      <c r="W140" s="0" t="n">
        <f aca="false">$B140/W$1</f>
        <v>0.0068130081300813</v>
      </c>
      <c r="X140" s="0" t="n">
        <f aca="false">$B140/X$1</f>
        <v>0.00649612403100775</v>
      </c>
      <c r="Y140" s="0" t="n">
        <f aca="false">$B140/Y$1</f>
        <v>0.00620740740740741</v>
      </c>
      <c r="Z140" s="0" t="n">
        <f aca="false">$B140/Z$1</f>
        <v>0.00594326241134752</v>
      </c>
      <c r="AA140" s="0" t="n">
        <f aca="false">$B140/AA$1</f>
        <v>0.00570068027210885</v>
      </c>
      <c r="AB140" s="0" t="n">
        <f aca="false">$B140/AB$1</f>
        <v>0.00547712418300654</v>
      </c>
      <c r="AC140" s="0" t="n">
        <f aca="false">$B140/AC$1</f>
        <v>0.00527044025157233</v>
      </c>
      <c r="AD140" s="0" t="n">
        <f aca="false">$B140/AD$1</f>
        <v>0.00507878787878788</v>
      </c>
      <c r="AE140" s="0" t="n">
        <f aca="false">$B140/AE$1</f>
        <v>0.00490058479532164</v>
      </c>
      <c r="AF140" s="0" t="n">
        <f aca="false">$B140/AF$1</f>
        <v>0.00473446327683616</v>
      </c>
      <c r="AG140" s="0" t="n">
        <f aca="false">$B140/AG$1</f>
        <v>0.0045792349726776</v>
      </c>
      <c r="AH140" s="0" t="n">
        <f aca="false">$B140/AH$1</f>
        <v>0.00443386243386244</v>
      </c>
      <c r="AI140" s="0" t="n">
        <f aca="false">$B140/AI$1</f>
        <v>0.0042974358974359</v>
      </c>
      <c r="AJ140" s="0" t="n">
        <f aca="false">$B140/AJ$1</f>
        <v>0.00416915422885572</v>
      </c>
      <c r="AK140" s="0" t="n">
        <f aca="false">$B140/AK$1</f>
        <v>0.00404830917874396</v>
      </c>
      <c r="AL140" s="0" t="n">
        <f aca="false">$B140/AL$1</f>
        <v>0.00393427230046948</v>
      </c>
      <c r="AM140" s="0" t="n">
        <f aca="false">$B140/AM$1</f>
        <v>0.00382648401826484</v>
      </c>
      <c r="AN140" s="0" t="n">
        <f aca="false">$B140/AN$1</f>
        <v>0.00372444444444445</v>
      </c>
      <c r="AO140" s="0" t="n">
        <f aca="false">$B140/AO$1</f>
        <v>0.00362770562770563</v>
      </c>
      <c r="AP140" s="0" t="n">
        <f aca="false">$B140/AP$1</f>
        <v>0.00353586497890295</v>
      </c>
      <c r="AQ140" s="0" t="n">
        <f aca="false">$B140/AQ$1</f>
        <v>0.00344855967078189</v>
      </c>
      <c r="AR140" s="0" t="n">
        <f aca="false">$B140/AR$1</f>
        <v>0.00336546184738956</v>
      </c>
      <c r="AS140" s="0" t="n">
        <f aca="false">$B140/AS$1</f>
        <v>0.00328627450980392</v>
      </c>
      <c r="AT140" s="0" t="n">
        <f aca="false">$B140/AT$1</f>
        <v>0.00321072796934866</v>
      </c>
      <c r="AU140" s="0" t="n">
        <f aca="false">$B140/AU$1</f>
        <v>0.00313857677902622</v>
      </c>
      <c r="AV140" s="0" t="n">
        <f aca="false">$B140/AV$1</f>
        <v>0.00306959706959707</v>
      </c>
      <c r="AW140" s="0" t="n">
        <f aca="false">$B140/AW$1</f>
        <v>0.00300358422939068</v>
      </c>
      <c r="AX140" s="0" t="n">
        <f aca="false">$B140/AX$1</f>
        <v>0.00294035087719298</v>
      </c>
      <c r="AY140" s="0" t="n">
        <f aca="false">$B140/AY$1</f>
        <v>0.00287972508591065</v>
      </c>
      <c r="AZ140" s="0" t="n">
        <f aca="false">$B140/AZ$1</f>
        <v>0.00282154882154882</v>
      </c>
      <c r="BA140" s="0" t="n">
        <f aca="false">$B140/BA$1</f>
        <v>0.00276567656765677</v>
      </c>
      <c r="BB140" s="0" t="n">
        <f aca="false">$B140/BB$1</f>
        <v>0.00271197411003236</v>
      </c>
      <c r="BC140" s="0" t="n">
        <f aca="false">$B140/BC$1</f>
        <v>0.00266031746031746</v>
      </c>
      <c r="BD140" s="0" t="n">
        <f aca="false">$B140/BD$1</f>
        <v>0.00261059190031153</v>
      </c>
      <c r="BE140" s="0" t="n">
        <f aca="false">$B140/BE$1</f>
        <v>0.00256269113149847</v>
      </c>
      <c r="BF140" s="0" t="n">
        <f aca="false">$B140/BF$1</f>
        <v>0.00251651651651652</v>
      </c>
      <c r="BG140" s="0" t="n">
        <f aca="false">$B140/BG$1</f>
        <v>0.00247197640117994</v>
      </c>
      <c r="BH140" s="0" t="n">
        <f aca="false">$B140/BH$1</f>
        <v>0.00242898550724638</v>
      </c>
      <c r="BI140" s="0" t="n">
        <f aca="false">$B140/BI$1</f>
        <v>0.00238746438746439</v>
      </c>
      <c r="BJ140" s="0" t="n">
        <f aca="false">$B140/BJ$1</f>
        <v>0.00234733893557423</v>
      </c>
      <c r="BL140" s="0" t="n">
        <f aca="false">IF($B$138=1,COUNTIF(C140:BJ140,"&gt;="&amp;$C$138),0)</f>
        <v>34</v>
      </c>
      <c r="BM140" s="0" t="n">
        <f aca="false">IF($B$138=1,IF(OR(BS140&gt;=Settings!$B$5,Settings!$C$15&gt;0),MAX(BL140,Settings!$C$15),0),0)</f>
        <v>34</v>
      </c>
      <c r="BN140" s="0" t="n">
        <f aca="false">IF($B$138=1,IF(OR(BS140&gt;=Settings!$B$5,Settings!$C$15&gt;0),MAX(0,(2*MAX(BL140,Settings!$C$15)+1)*$C$138-BS140),MAX(0,Settings!$B$5-BS140)),"")</f>
        <v>0.00586666666666663</v>
      </c>
      <c r="BO140" s="0" t="n">
        <f aca="false">IF($B$138=1,IF(OR(BS140&gt;=Settings!$B$5,Settings!$C$15&gt;0),IF(BL140&lt;=Settings!$C$15,"Protected by electorates",IF(Settings!$C$15=0,MIN(BS140-(2*BL140-1)*$D$138,BS140-Settings!$B$5),BS140-(2*BL140-1)*$D$138)),""),"")</f>
        <v>0.00270209339774558</v>
      </c>
      <c r="BP140" s="0" t="n">
        <f aca="false">IF($B$138=1,IF(OR(BS140&gt;=Settings!$B$5,Settings!$C$15&gt;0),MAX(0,MIN(1,(BS140/$C$138-(2*MAX(BL140,Settings!$C$15)-1))/2)),MIN(1,BS140/Settings!$B$5)),"")</f>
        <v>0.290322580645167</v>
      </c>
      <c r="BQ140" s="0" t="n">
        <f aca="false">IF(AND($B$138=1,COUNTIF(C140:BJ140,$C$138)&gt;0),1,0)</f>
        <v>0</v>
      </c>
      <c r="BR140" s="0" t="n">
        <f aca="false">IF(AND($B$138=1,COUNTIF(C140:BJ140,$D$138)&gt;0),1,0)</f>
        <v>0</v>
      </c>
      <c r="BS140" s="0" t="n">
        <f aca="false">N(IF(Polls!I21="",Polls!I37,Polls!I21))</f>
        <v>0.279333333333333</v>
      </c>
      <c r="BT140" s="0" t="str">
        <f aca="false">IF(OR(BS140&gt;=Settings!$B$5,Settings!$C$15&gt;0),"Next seat","Threshold")</f>
        <v>Next seat</v>
      </c>
    </row>
    <row r="141" customFormat="false" ht="15" hidden="false" customHeight="false" outlineLevel="0" collapsed="false">
      <c r="A141" s="0" t="s">
        <v>45</v>
      </c>
      <c r="B141" s="0" t="n">
        <f aca="false">IF(OR(BS141&gt;=Settings!$B$5,Settings!$C$16&gt;0),BS141,0)</f>
        <v>0.145555555555556</v>
      </c>
      <c r="C141" s="0" t="n">
        <f aca="false">$B141/C$1</f>
        <v>0.145555555555556</v>
      </c>
      <c r="D141" s="0" t="n">
        <f aca="false">$B141/D$1</f>
        <v>0.0485185185185185</v>
      </c>
      <c r="E141" s="0" t="n">
        <f aca="false">$B141/E$1</f>
        <v>0.0291111111111111</v>
      </c>
      <c r="F141" s="0" t="n">
        <f aca="false">$B141/F$1</f>
        <v>0.0207936507936508</v>
      </c>
      <c r="G141" s="0" t="n">
        <f aca="false">$B141/G$1</f>
        <v>0.0161728395061728</v>
      </c>
      <c r="H141" s="0" t="n">
        <f aca="false">$B141/H$1</f>
        <v>0.0132323232323232</v>
      </c>
      <c r="I141" s="0" t="n">
        <f aca="false">$B141/I$1</f>
        <v>0.0111965811965812</v>
      </c>
      <c r="J141" s="0" t="n">
        <f aca="false">$B141/J$1</f>
        <v>0.0097037037037037</v>
      </c>
      <c r="K141" s="0" t="n">
        <f aca="false">$B141/K$1</f>
        <v>0.00856209150326797</v>
      </c>
      <c r="L141" s="0" t="n">
        <f aca="false">$B141/L$1</f>
        <v>0.00766081871345029</v>
      </c>
      <c r="M141" s="0" t="n">
        <f aca="false">$B141/M$1</f>
        <v>0.00693121693121693</v>
      </c>
      <c r="N141" s="0" t="n">
        <f aca="false">$B141/N$1</f>
        <v>0.00632850241545894</v>
      </c>
      <c r="O141" s="0" t="n">
        <f aca="false">$B141/O$1</f>
        <v>0.00582222222222222</v>
      </c>
      <c r="P141" s="0" t="n">
        <f aca="false">$B141/P$1</f>
        <v>0.00539094650205761</v>
      </c>
      <c r="Q141" s="0" t="n">
        <f aca="false">$B141/Q$1</f>
        <v>0.00501915708812261</v>
      </c>
      <c r="R141" s="0" t="n">
        <f aca="false">$B141/R$1</f>
        <v>0.00469534050179212</v>
      </c>
      <c r="S141" s="0" t="n">
        <f aca="false">$B141/S$1</f>
        <v>0.00441077441077441</v>
      </c>
      <c r="T141" s="0" t="n">
        <f aca="false">$B141/T$1</f>
        <v>0.00415873015873016</v>
      </c>
      <c r="U141" s="0" t="n">
        <f aca="false">$B141/U$1</f>
        <v>0.00393393393393393</v>
      </c>
      <c r="V141" s="0" t="n">
        <f aca="false">$B141/V$1</f>
        <v>0.00373219373219373</v>
      </c>
      <c r="W141" s="0" t="n">
        <f aca="false">$B141/W$1</f>
        <v>0.00355013550135501</v>
      </c>
      <c r="X141" s="0" t="n">
        <f aca="false">$B141/X$1</f>
        <v>0.00338501291989664</v>
      </c>
      <c r="Y141" s="0" t="n">
        <f aca="false">$B141/Y$1</f>
        <v>0.00323456790123457</v>
      </c>
      <c r="Z141" s="0" t="n">
        <f aca="false">$B141/Z$1</f>
        <v>0.00309692671394799</v>
      </c>
      <c r="AA141" s="0" t="n">
        <f aca="false">$B141/AA$1</f>
        <v>0.00297052154195011</v>
      </c>
      <c r="AB141" s="0" t="n">
        <f aca="false">$B141/AB$1</f>
        <v>0.00285403050108932</v>
      </c>
      <c r="AC141" s="0" t="n">
        <f aca="false">$B141/AC$1</f>
        <v>0.00274633123689727</v>
      </c>
      <c r="AD141" s="0" t="n">
        <f aca="false">$B141/AD$1</f>
        <v>0.00264646464646465</v>
      </c>
      <c r="AE141" s="0" t="n">
        <f aca="false">$B141/AE$1</f>
        <v>0.00255360623781676</v>
      </c>
      <c r="AF141" s="0" t="n">
        <f aca="false">$B141/AF$1</f>
        <v>0.00246704331450094</v>
      </c>
      <c r="AG141" s="0" t="n">
        <f aca="false">$B141/AG$1</f>
        <v>0.00238615664845173</v>
      </c>
      <c r="AH141" s="0" t="n">
        <f aca="false">$B141/AH$1</f>
        <v>0.00231040564373898</v>
      </c>
      <c r="AI141" s="0" t="n">
        <f aca="false">$B141/AI$1</f>
        <v>0.00223931623931624</v>
      </c>
      <c r="AJ141" s="0" t="n">
        <f aca="false">$B141/AJ$1</f>
        <v>0.00217247097844113</v>
      </c>
      <c r="AK141" s="0" t="n">
        <f aca="false">$B141/AK$1</f>
        <v>0.00210950080515298</v>
      </c>
      <c r="AL141" s="0" t="n">
        <f aca="false">$B141/AL$1</f>
        <v>0.00205007824726135</v>
      </c>
      <c r="AM141" s="0" t="n">
        <f aca="false">$B141/AM$1</f>
        <v>0.00199391171993912</v>
      </c>
      <c r="AN141" s="0" t="n">
        <f aca="false">$B141/AN$1</f>
        <v>0.00194074074074074</v>
      </c>
      <c r="AO141" s="0" t="n">
        <f aca="false">$B141/AO$1</f>
        <v>0.00189033189033189</v>
      </c>
      <c r="AP141" s="0" t="n">
        <f aca="false">$B141/AP$1</f>
        <v>0.00184247538677918</v>
      </c>
      <c r="AQ141" s="0" t="n">
        <f aca="false">$B141/AQ$1</f>
        <v>0.00179698216735254</v>
      </c>
      <c r="AR141" s="0" t="n">
        <f aca="false">$B141/AR$1</f>
        <v>0.00175368139223561</v>
      </c>
      <c r="AS141" s="0" t="n">
        <f aca="false">$B141/AS$1</f>
        <v>0.00171241830065359</v>
      </c>
      <c r="AT141" s="0" t="n">
        <f aca="false">$B141/AT$1</f>
        <v>0.00167305236270754</v>
      </c>
      <c r="AU141" s="0" t="n">
        <f aca="false">$B141/AU$1</f>
        <v>0.0016354556803995</v>
      </c>
      <c r="AV141" s="0" t="n">
        <f aca="false">$B141/AV$1</f>
        <v>0.0015995115995116</v>
      </c>
      <c r="AW141" s="0" t="n">
        <f aca="false">$B141/AW$1</f>
        <v>0.00156511350059737</v>
      </c>
      <c r="AX141" s="0" t="n">
        <f aca="false">$B141/AX$1</f>
        <v>0.00153216374269006</v>
      </c>
      <c r="AY141" s="0" t="n">
        <f aca="false">$B141/AY$1</f>
        <v>0.00150057273768614</v>
      </c>
      <c r="AZ141" s="0" t="n">
        <f aca="false">$B141/AZ$1</f>
        <v>0.0014702581369248</v>
      </c>
      <c r="BA141" s="0" t="n">
        <f aca="false">$B141/BA$1</f>
        <v>0.00144114411441144</v>
      </c>
      <c r="BB141" s="0" t="n">
        <f aca="false">$B141/BB$1</f>
        <v>0.00141316073354908</v>
      </c>
      <c r="BC141" s="0" t="n">
        <f aca="false">$B141/BC$1</f>
        <v>0.00138624338624339</v>
      </c>
      <c r="BD141" s="0" t="n">
        <f aca="false">$B141/BD$1</f>
        <v>0.00136033229491173</v>
      </c>
      <c r="BE141" s="0" t="n">
        <f aca="false">$B141/BE$1</f>
        <v>0.00133537206931702</v>
      </c>
      <c r="BF141" s="0" t="n">
        <f aca="false">$B141/BF$1</f>
        <v>0.00131131131131131</v>
      </c>
      <c r="BG141" s="0" t="n">
        <f aca="false">$B141/BG$1</f>
        <v>0.00128810226155359</v>
      </c>
      <c r="BH141" s="0" t="n">
        <f aca="false">$B141/BH$1</f>
        <v>0.00126570048309179</v>
      </c>
      <c r="BI141" s="0" t="n">
        <f aca="false">$B141/BI$1</f>
        <v>0.00124406457739791</v>
      </c>
      <c r="BJ141" s="0" t="n">
        <f aca="false">$B141/BJ$1</f>
        <v>0.00122315592903828</v>
      </c>
      <c r="BL141" s="0" t="n">
        <f aca="false">IF($B$138=1,COUNTIF(C141:BJ141,"&gt;="&amp;$C$138),0)</f>
        <v>18</v>
      </c>
      <c r="BM141" s="0" t="n">
        <f aca="false">IF($B$138=1,IF(OR(BS141&gt;=Settings!$B$5,Settings!$C$16&gt;0),MAX(BL141,Settings!$C$16),0),0)</f>
        <v>18</v>
      </c>
      <c r="BN141" s="0" t="n">
        <f aca="false">IF($B$138=1,IF(OR(BS141&gt;=Settings!$B$5,Settings!$C$16&gt;0),MAX(0,(2*MAX(BL141,Settings!$C$16)+1)*$C$138-BS141),MAX(0,Settings!$B$5-BS141)),"")</f>
        <v>0.00737777777777779</v>
      </c>
      <c r="BO141" s="0" t="n">
        <f aca="false">IF($B$138=1,IF(OR(BS141&gt;=Settings!$B$5,Settings!$C$16&gt;0),IF(BL141&lt;=Settings!$C$16,"Protected by electorates",IF(Settings!$C$16=0,MIN(BS141-(2*BL141-1)*$D$138,BS141-Settings!$B$5),BS141-(2*BL141-1)*$D$138)),""),"")</f>
        <v>0.0010466988727858</v>
      </c>
      <c r="BP141" s="0" t="n">
        <f aca="false">IF($B$138=1,IF(OR(BS141&gt;=Settings!$B$5,Settings!$C$16&gt;0),MAX(0,MIN(1,(BS141/$C$138-(2*MAX(BL141,Settings!$C$16)-1))/2)),MIN(1,BS141/Settings!$B$5)),"")</f>
        <v>0.107526881720428</v>
      </c>
      <c r="BQ141" s="0" t="n">
        <f aca="false">IF(AND($B$138=1,COUNTIF(C141:BJ141,$C$138)&gt;0),1,0)</f>
        <v>0</v>
      </c>
      <c r="BR141" s="0" t="n">
        <f aca="false">IF(AND($B$138=1,COUNTIF(C141:BJ141,$D$138)&gt;0),1,0)</f>
        <v>0</v>
      </c>
      <c r="BS141" s="0" t="n">
        <f aca="false">N(IF(Polls!J21="",Polls!J37,Polls!J21))</f>
        <v>0.145555555555556</v>
      </c>
      <c r="BT141" s="0" t="str">
        <f aca="false">IF(OR(BS141&gt;=Settings!$B$5,Settings!$C$16&gt;0),"Next seat","Threshold")</f>
        <v>Next seat</v>
      </c>
    </row>
    <row r="142" customFormat="false" ht="15" hidden="false" customHeight="false" outlineLevel="0" collapsed="false">
      <c r="A142" s="0" t="s">
        <v>46</v>
      </c>
      <c r="B142" s="0" t="n">
        <f aca="false">IF(OR(BS142&gt;=Settings!$B$5,Settings!$C$17&gt;0),BS142,0)</f>
        <v>0.0963333333333333</v>
      </c>
      <c r="C142" s="0" t="n">
        <f aca="false">$B142/C$1</f>
        <v>0.0963333333333333</v>
      </c>
      <c r="D142" s="0" t="n">
        <f aca="false">$B142/D$1</f>
        <v>0.0321111111111111</v>
      </c>
      <c r="E142" s="0" t="n">
        <f aca="false">$B142/E$1</f>
        <v>0.0192666666666667</v>
      </c>
      <c r="F142" s="0" t="n">
        <f aca="false">$B142/F$1</f>
        <v>0.0137619047619048</v>
      </c>
      <c r="G142" s="0" t="n">
        <f aca="false">$B142/G$1</f>
        <v>0.0107037037037037</v>
      </c>
      <c r="H142" s="0" t="n">
        <f aca="false">$B142/H$1</f>
        <v>0.00875757575757576</v>
      </c>
      <c r="I142" s="0" t="n">
        <f aca="false">$B142/I$1</f>
        <v>0.00741025641025641</v>
      </c>
      <c r="J142" s="0" t="n">
        <f aca="false">$B142/J$1</f>
        <v>0.00642222222222222</v>
      </c>
      <c r="K142" s="0" t="n">
        <f aca="false">$B142/K$1</f>
        <v>0.00566666666666667</v>
      </c>
      <c r="L142" s="0" t="n">
        <f aca="false">$B142/L$1</f>
        <v>0.00507017543859649</v>
      </c>
      <c r="M142" s="0" t="n">
        <f aca="false">$B142/M$1</f>
        <v>0.00458730158730159</v>
      </c>
      <c r="N142" s="0" t="n">
        <f aca="false">$B142/N$1</f>
        <v>0.00418840579710145</v>
      </c>
      <c r="O142" s="0" t="n">
        <f aca="false">$B142/O$1</f>
        <v>0.00385333333333333</v>
      </c>
      <c r="P142" s="0" t="n">
        <f aca="false">$B142/P$1</f>
        <v>0.0035679012345679</v>
      </c>
      <c r="Q142" s="0" t="n">
        <f aca="false">$B142/Q$1</f>
        <v>0.00332183908045977</v>
      </c>
      <c r="R142" s="0" t="n">
        <f aca="false">$B142/R$1</f>
        <v>0.00310752688172043</v>
      </c>
      <c r="S142" s="0" t="n">
        <f aca="false">$B142/S$1</f>
        <v>0.00291919191919192</v>
      </c>
      <c r="T142" s="0" t="n">
        <f aca="false">$B142/T$1</f>
        <v>0.00275238095238095</v>
      </c>
      <c r="U142" s="0" t="n">
        <f aca="false">$B142/U$1</f>
        <v>0.0026036036036036</v>
      </c>
      <c r="V142" s="0" t="n">
        <f aca="false">$B142/V$1</f>
        <v>0.00247008547008547</v>
      </c>
      <c r="W142" s="0" t="n">
        <f aca="false">$B142/W$1</f>
        <v>0.00234959349593496</v>
      </c>
      <c r="X142" s="0" t="n">
        <f aca="false">$B142/X$1</f>
        <v>0.00224031007751938</v>
      </c>
      <c r="Y142" s="0" t="n">
        <f aca="false">$B142/Y$1</f>
        <v>0.00214074074074074</v>
      </c>
      <c r="Z142" s="0" t="n">
        <f aca="false">$B142/Z$1</f>
        <v>0.00204964539007092</v>
      </c>
      <c r="AA142" s="0" t="n">
        <f aca="false">$B142/AA$1</f>
        <v>0.00196598639455782</v>
      </c>
      <c r="AB142" s="0" t="n">
        <f aca="false">$B142/AB$1</f>
        <v>0.00188888888888889</v>
      </c>
      <c r="AC142" s="0" t="n">
        <f aca="false">$B142/AC$1</f>
        <v>0.00181761006289308</v>
      </c>
      <c r="AD142" s="0" t="n">
        <f aca="false">$B142/AD$1</f>
        <v>0.00175151515151515</v>
      </c>
      <c r="AE142" s="0" t="n">
        <f aca="false">$B142/AE$1</f>
        <v>0.00169005847953216</v>
      </c>
      <c r="AF142" s="0" t="n">
        <f aca="false">$B142/AF$1</f>
        <v>0.00163276836158192</v>
      </c>
      <c r="AG142" s="0" t="n">
        <f aca="false">$B142/AG$1</f>
        <v>0.0015792349726776</v>
      </c>
      <c r="AH142" s="0" t="n">
        <f aca="false">$B142/AH$1</f>
        <v>0.00152910052910053</v>
      </c>
      <c r="AI142" s="0" t="n">
        <f aca="false">$B142/AI$1</f>
        <v>0.00148205128205128</v>
      </c>
      <c r="AJ142" s="0" t="n">
        <f aca="false">$B142/AJ$1</f>
        <v>0.00143781094527363</v>
      </c>
      <c r="AK142" s="0" t="n">
        <f aca="false">$B142/AK$1</f>
        <v>0.00139613526570048</v>
      </c>
      <c r="AL142" s="0" t="n">
        <f aca="false">$B142/AL$1</f>
        <v>0.00135680751173709</v>
      </c>
      <c r="AM142" s="0" t="n">
        <f aca="false">$B142/AM$1</f>
        <v>0.00131963470319635</v>
      </c>
      <c r="AN142" s="0" t="n">
        <f aca="false">$B142/AN$1</f>
        <v>0.00128444444444444</v>
      </c>
      <c r="AO142" s="0" t="n">
        <f aca="false">$B142/AO$1</f>
        <v>0.00125108225108225</v>
      </c>
      <c r="AP142" s="0" t="n">
        <f aca="false">$B142/AP$1</f>
        <v>0.00121940928270042</v>
      </c>
      <c r="AQ142" s="0" t="n">
        <f aca="false">$B142/AQ$1</f>
        <v>0.00118930041152263</v>
      </c>
      <c r="AR142" s="0" t="n">
        <f aca="false">$B142/AR$1</f>
        <v>0.00116064257028112</v>
      </c>
      <c r="AS142" s="0" t="n">
        <f aca="false">$B142/AS$1</f>
        <v>0.00113333333333333</v>
      </c>
      <c r="AT142" s="0" t="n">
        <f aca="false">$B142/AT$1</f>
        <v>0.00110727969348659</v>
      </c>
      <c r="AU142" s="0" t="n">
        <f aca="false">$B142/AU$1</f>
        <v>0.00108239700374532</v>
      </c>
      <c r="AV142" s="0" t="n">
        <f aca="false">$B142/AV$1</f>
        <v>0.00105860805860806</v>
      </c>
      <c r="AW142" s="0" t="n">
        <f aca="false">$B142/AW$1</f>
        <v>0.00103584229390681</v>
      </c>
      <c r="AX142" s="0" t="n">
        <f aca="false">$B142/AX$1</f>
        <v>0.0010140350877193</v>
      </c>
      <c r="AY142" s="0" t="n">
        <f aca="false">$B142/AY$1</f>
        <v>0.000993127147766323</v>
      </c>
      <c r="AZ142" s="0" t="n">
        <f aca="false">$B142/AZ$1</f>
        <v>0.000973063973063973</v>
      </c>
      <c r="BA142" s="0" t="n">
        <f aca="false">$B142/BA$1</f>
        <v>0.000953795379537954</v>
      </c>
      <c r="BB142" s="0" t="n">
        <f aca="false">$B142/BB$1</f>
        <v>0.000935275080906149</v>
      </c>
      <c r="BC142" s="0" t="n">
        <f aca="false">$B142/BC$1</f>
        <v>0.000917460317460317</v>
      </c>
      <c r="BD142" s="0" t="n">
        <f aca="false">$B142/BD$1</f>
        <v>0.000900311526479751</v>
      </c>
      <c r="BE142" s="0" t="n">
        <f aca="false">$B142/BE$1</f>
        <v>0.000883792048929664</v>
      </c>
      <c r="BF142" s="0" t="n">
        <f aca="false">$B142/BF$1</f>
        <v>0.000867867867867868</v>
      </c>
      <c r="BG142" s="0" t="n">
        <f aca="false">$B142/BG$1</f>
        <v>0.000852507374631268</v>
      </c>
      <c r="BH142" s="0" t="n">
        <f aca="false">$B142/BH$1</f>
        <v>0.00083768115942029</v>
      </c>
      <c r="BI142" s="0" t="n">
        <f aca="false">$B142/BI$1</f>
        <v>0.000823361823361823</v>
      </c>
      <c r="BJ142" s="0" t="n">
        <f aca="false">$B142/BJ$1</f>
        <v>0.00080952380952381</v>
      </c>
      <c r="BL142" s="0" t="n">
        <f aca="false">IF($B$138=1,COUNTIF(C142:BJ142,"&gt;="&amp;$C$138),0)</f>
        <v>12</v>
      </c>
      <c r="BM142" s="0" t="n">
        <f aca="false">IF($B$138=1,IF(OR(BS142&gt;=Settings!$B$5,Settings!$C$17&gt;0),MAX(BL142,Settings!$C$17),0),0)</f>
        <v>12</v>
      </c>
      <c r="BN142" s="0" t="n">
        <f aca="false">IF($B$138=1,IF(OR(BS142&gt;=Settings!$B$5,Settings!$C$17&gt;0),MAX(0,(2*MAX(BL142,Settings!$C$17)+1)*$C$138-BS142),MAX(0,Settings!$B$5-BS142)),"")</f>
        <v>0.00700000000000001</v>
      </c>
      <c r="BO142" s="0" t="n">
        <f aca="false">IF($B$138=1,IF(OR(BS142&gt;=Settings!$B$5,Settings!$C$17&gt;0),IF(BL142&lt;=Settings!$C$17,"Protected by electorates",IF(Settings!$C$17=0,MIN(BS142-(2*BL142-1)*$D$138,BS142-Settings!$B$5),BS142-(2*BL142-1)*$D$138)),""),"")</f>
        <v>0.00137037037037036</v>
      </c>
      <c r="BP142" s="0" t="n">
        <f aca="false">IF($B$138=1,IF(OR(BS142&gt;=Settings!$B$5,Settings!$C$17&gt;0),MAX(0,MIN(1,(BS142/$C$138-(2*MAX(BL142,Settings!$C$17)-1))/2)),MIN(1,BS142/Settings!$B$5)),"")</f>
        <v>0.153225806451612</v>
      </c>
      <c r="BQ142" s="0" t="n">
        <f aca="false">IF(AND($B$138=1,COUNTIF(C142:BJ142,$C$138)&gt;0),1,0)</f>
        <v>0</v>
      </c>
      <c r="BR142" s="0" t="n">
        <f aca="false">IF(AND($B$138=1,COUNTIF(C142:BJ142,$D$138)&gt;0),1,0)</f>
        <v>0</v>
      </c>
      <c r="BS142" s="0" t="n">
        <f aca="false">N(IF(Polls!K21="",Polls!K37,Polls!K21))</f>
        <v>0.0963333333333333</v>
      </c>
      <c r="BT142" s="0" t="str">
        <f aca="false">IF(OR(BS142&gt;=Settings!$B$5,Settings!$C$17&gt;0),"Next seat","Threshold")</f>
        <v>Next seat</v>
      </c>
    </row>
    <row r="143" customFormat="false" ht="15" hidden="false" customHeight="false" outlineLevel="0" collapsed="false">
      <c r="A143" s="0" t="s">
        <v>48</v>
      </c>
      <c r="B143" s="0" t="n">
        <f aca="false">IF(OR(BS143&gt;=Settings!$B$5,Settings!$C$18&gt;0),BS143,0)</f>
        <v>0.103333333333333</v>
      </c>
      <c r="C143" s="0" t="n">
        <f aca="false">$B143/C$1</f>
        <v>0.103333333333333</v>
      </c>
      <c r="D143" s="0" t="n">
        <f aca="false">$B143/D$1</f>
        <v>0.0344444444444444</v>
      </c>
      <c r="E143" s="0" t="n">
        <f aca="false">$B143/E$1</f>
        <v>0.0206666666666667</v>
      </c>
      <c r="F143" s="0" t="n">
        <f aca="false">$B143/F$1</f>
        <v>0.0147619047619048</v>
      </c>
      <c r="G143" s="0" t="n">
        <f aca="false">$B143/G$1</f>
        <v>0.0114814814814815</v>
      </c>
      <c r="H143" s="0" t="n">
        <f aca="false">$B143/H$1</f>
        <v>0.00939393939393939</v>
      </c>
      <c r="I143" s="0" t="n">
        <f aca="false">$B143/I$1</f>
        <v>0.00794871794871795</v>
      </c>
      <c r="J143" s="0" t="n">
        <f aca="false">$B143/J$1</f>
        <v>0.00688888888888889</v>
      </c>
      <c r="K143" s="0" t="n">
        <f aca="false">$B143/K$1</f>
        <v>0.00607843137254902</v>
      </c>
      <c r="L143" s="0" t="n">
        <f aca="false">$B143/L$1</f>
        <v>0.00543859649122807</v>
      </c>
      <c r="M143" s="0" t="n">
        <f aca="false">$B143/M$1</f>
        <v>0.00492063492063492</v>
      </c>
      <c r="N143" s="0" t="n">
        <f aca="false">$B143/N$1</f>
        <v>0.00449275362318841</v>
      </c>
      <c r="O143" s="0" t="n">
        <f aca="false">$B143/O$1</f>
        <v>0.00413333333333333</v>
      </c>
      <c r="P143" s="0" t="n">
        <f aca="false">$B143/P$1</f>
        <v>0.00382716049382716</v>
      </c>
      <c r="Q143" s="0" t="n">
        <f aca="false">$B143/Q$1</f>
        <v>0.0035632183908046</v>
      </c>
      <c r="R143" s="0" t="n">
        <f aca="false">$B143/R$1</f>
        <v>0.00333333333333333</v>
      </c>
      <c r="S143" s="0" t="n">
        <f aca="false">$B143/S$1</f>
        <v>0.00313131313131313</v>
      </c>
      <c r="T143" s="0" t="n">
        <f aca="false">$B143/T$1</f>
        <v>0.00295238095238095</v>
      </c>
      <c r="U143" s="0" t="n">
        <f aca="false">$B143/U$1</f>
        <v>0.00279279279279279</v>
      </c>
      <c r="V143" s="0" t="n">
        <f aca="false">$B143/V$1</f>
        <v>0.00264957264957265</v>
      </c>
      <c r="W143" s="0" t="n">
        <f aca="false">$B143/W$1</f>
        <v>0.00252032520325203</v>
      </c>
      <c r="X143" s="0" t="n">
        <f aca="false">$B143/X$1</f>
        <v>0.0024031007751938</v>
      </c>
      <c r="Y143" s="0" t="n">
        <f aca="false">$B143/Y$1</f>
        <v>0.0022962962962963</v>
      </c>
      <c r="Z143" s="0" t="n">
        <f aca="false">$B143/Z$1</f>
        <v>0.00219858156028369</v>
      </c>
      <c r="AA143" s="0" t="n">
        <f aca="false">$B143/AA$1</f>
        <v>0.00210884353741497</v>
      </c>
      <c r="AB143" s="0" t="n">
        <f aca="false">$B143/AB$1</f>
        <v>0.00202614379084967</v>
      </c>
      <c r="AC143" s="0" t="n">
        <f aca="false">$B143/AC$1</f>
        <v>0.0019496855345912</v>
      </c>
      <c r="AD143" s="0" t="n">
        <f aca="false">$B143/AD$1</f>
        <v>0.00187878787878788</v>
      </c>
      <c r="AE143" s="0" t="n">
        <f aca="false">$B143/AE$1</f>
        <v>0.00181286549707602</v>
      </c>
      <c r="AF143" s="0" t="n">
        <f aca="false">$B143/AF$1</f>
        <v>0.00175141242937853</v>
      </c>
      <c r="AG143" s="0" t="n">
        <f aca="false">$B143/AG$1</f>
        <v>0.00169398907103825</v>
      </c>
      <c r="AH143" s="0" t="n">
        <f aca="false">$B143/AH$1</f>
        <v>0.00164021164021164</v>
      </c>
      <c r="AI143" s="0" t="n">
        <f aca="false">$B143/AI$1</f>
        <v>0.00158974358974359</v>
      </c>
      <c r="AJ143" s="0" t="n">
        <f aca="false">$B143/AJ$1</f>
        <v>0.00154228855721393</v>
      </c>
      <c r="AK143" s="0" t="n">
        <f aca="false">$B143/AK$1</f>
        <v>0.0014975845410628</v>
      </c>
      <c r="AL143" s="0" t="n">
        <f aca="false">$B143/AL$1</f>
        <v>0.00145539906103286</v>
      </c>
      <c r="AM143" s="0" t="n">
        <f aca="false">$B143/AM$1</f>
        <v>0.00141552511415525</v>
      </c>
      <c r="AN143" s="0" t="n">
        <f aca="false">$B143/AN$1</f>
        <v>0.00137777777777778</v>
      </c>
      <c r="AO143" s="0" t="n">
        <f aca="false">$B143/AO$1</f>
        <v>0.00134199134199134</v>
      </c>
      <c r="AP143" s="0" t="n">
        <f aca="false">$B143/AP$1</f>
        <v>0.00130801687763713</v>
      </c>
      <c r="AQ143" s="0" t="n">
        <f aca="false">$B143/AQ$1</f>
        <v>0.00127572016460905</v>
      </c>
      <c r="AR143" s="0" t="n">
        <f aca="false">$B143/AR$1</f>
        <v>0.00124497991967872</v>
      </c>
      <c r="AS143" s="0" t="n">
        <f aca="false">$B143/AS$1</f>
        <v>0.0012156862745098</v>
      </c>
      <c r="AT143" s="0" t="n">
        <f aca="false">$B143/AT$1</f>
        <v>0.00118773946360153</v>
      </c>
      <c r="AU143" s="0" t="n">
        <f aca="false">$B143/AU$1</f>
        <v>0.00116104868913858</v>
      </c>
      <c r="AV143" s="0" t="n">
        <f aca="false">$B143/AV$1</f>
        <v>0.00113553113553114</v>
      </c>
      <c r="AW143" s="0" t="n">
        <f aca="false">$B143/AW$1</f>
        <v>0.00111111111111111</v>
      </c>
      <c r="AX143" s="0" t="n">
        <f aca="false">$B143/AX$1</f>
        <v>0.00108771929824561</v>
      </c>
      <c r="AY143" s="0" t="n">
        <f aca="false">$B143/AY$1</f>
        <v>0.00106529209621993</v>
      </c>
      <c r="AZ143" s="0" t="n">
        <f aca="false">$B143/AZ$1</f>
        <v>0.00104377104377104</v>
      </c>
      <c r="BA143" s="0" t="n">
        <f aca="false">$B143/BA$1</f>
        <v>0.00102310231023102</v>
      </c>
      <c r="BB143" s="0" t="n">
        <f aca="false">$B143/BB$1</f>
        <v>0.00100323624595469</v>
      </c>
      <c r="BC143" s="0" t="n">
        <f aca="false">$B143/BC$1</f>
        <v>0.000984126984126984</v>
      </c>
      <c r="BD143" s="0" t="n">
        <f aca="false">$B143/BD$1</f>
        <v>0.000965732087227414</v>
      </c>
      <c r="BE143" s="0" t="n">
        <f aca="false">$B143/BE$1</f>
        <v>0.000948012232415902</v>
      </c>
      <c r="BF143" s="0" t="n">
        <f aca="false">$B143/BF$1</f>
        <v>0.000930930930930931</v>
      </c>
      <c r="BG143" s="0" t="n">
        <f aca="false">$B143/BG$1</f>
        <v>0.000914454277286136</v>
      </c>
      <c r="BH143" s="0" t="n">
        <f aca="false">$B143/BH$1</f>
        <v>0.000898550724637681</v>
      </c>
      <c r="BI143" s="0" t="n">
        <f aca="false">$B143/BI$1</f>
        <v>0.000883190883190883</v>
      </c>
      <c r="BJ143" s="0" t="n">
        <f aca="false">$B143/BJ$1</f>
        <v>0.000868347338935574</v>
      </c>
      <c r="BL143" s="0" t="n">
        <f aca="false">IF($B$138=1,COUNTIF(C143:BJ143,"&gt;="&amp;$C$138),0)</f>
        <v>13</v>
      </c>
      <c r="BM143" s="0" t="n">
        <f aca="false">IF($B$138=1,IF(OR(BS143&gt;=Settings!$B$5,Settings!$C$18&gt;0),MAX(BL143,Settings!$C$18),0),0)</f>
        <v>13</v>
      </c>
      <c r="BN143" s="0" t="n">
        <f aca="false">IF($B$138=1,IF(OR(BS143&gt;=Settings!$B$5,Settings!$C$18&gt;0),MAX(0,(2*MAX(BL143,Settings!$C$18)+1)*$C$138-BS143),MAX(0,Settings!$B$5-BS143)),"")</f>
        <v>0.00826666666666667</v>
      </c>
      <c r="BO143" s="0" t="n">
        <f aca="false">IF($B$138=1,IF(OR(BS143&gt;=Settings!$B$5,Settings!$C$18&gt;0),IF(BL143&lt;=Settings!$C$18,"Protected by electorates",IF(Settings!$C$18=0,MIN(BS143-(2*BL143-1)*$D$138,BS143-Settings!$B$5),BS143-(2*BL143-1)*$D$138)),""),"")</f>
        <v>0.000112721417069223</v>
      </c>
      <c r="BP143" s="0" t="n">
        <f aca="false">IF($B$138=1,IF(OR(BS143&gt;=Settings!$B$5,Settings!$C$18&gt;0),MAX(0,MIN(1,(BS143/$C$138-(2*MAX(BL143,Settings!$C$18)-1))/2)),MIN(1,BS143/Settings!$B$5)),"")</f>
        <v>0</v>
      </c>
      <c r="BQ143" s="0" t="n">
        <f aca="false">IF(AND($B$138=1,COUNTIF(C143:BJ143,$C$138)&gt;0),1,0)</f>
        <v>1</v>
      </c>
      <c r="BR143" s="0" t="n">
        <f aca="false">IF(AND($B$138=1,COUNTIF(C143:BJ143,$D$138)&gt;0),1,0)</f>
        <v>0</v>
      </c>
      <c r="BS143" s="0" t="n">
        <f aca="false">N(IF(Polls!L21="",Polls!L37,Polls!L21))</f>
        <v>0.103333333333333</v>
      </c>
      <c r="BT143" s="0" t="str">
        <f aca="false">IF(OR(BS143&gt;=Settings!$B$5,Settings!$C$18&gt;0),"Next seat","Threshold")</f>
        <v>Next seat</v>
      </c>
    </row>
    <row r="144" customFormat="false" ht="15" hidden="false" customHeight="false" outlineLevel="0" collapsed="false">
      <c r="A144" s="0" t="s">
        <v>50</v>
      </c>
      <c r="B144" s="0" t="n">
        <f aca="false">IF(OR(BS144&gt;=Settings!$B$5,Settings!$C$19&gt;0),BS144,0)</f>
        <v>0.0145</v>
      </c>
      <c r="C144" s="0" t="n">
        <f aca="false">$B144/C$1</f>
        <v>0.0145</v>
      </c>
      <c r="D144" s="0" t="n">
        <f aca="false">$B144/D$1</f>
        <v>0.00483333333333333</v>
      </c>
      <c r="E144" s="0" t="n">
        <f aca="false">$B144/E$1</f>
        <v>0.0029</v>
      </c>
      <c r="F144" s="0" t="n">
        <f aca="false">$B144/F$1</f>
        <v>0.00207142857142857</v>
      </c>
      <c r="G144" s="0" t="n">
        <f aca="false">$B144/G$1</f>
        <v>0.00161111111111111</v>
      </c>
      <c r="H144" s="0" t="n">
        <f aca="false">$B144/H$1</f>
        <v>0.00131818181818182</v>
      </c>
      <c r="I144" s="0" t="n">
        <f aca="false">$B144/I$1</f>
        <v>0.00111538461538462</v>
      </c>
      <c r="J144" s="0" t="n">
        <f aca="false">$B144/J$1</f>
        <v>0.000966666666666667</v>
      </c>
      <c r="K144" s="0" t="n">
        <f aca="false">$B144/K$1</f>
        <v>0.000852941176470588</v>
      </c>
      <c r="L144" s="0" t="n">
        <f aca="false">$B144/L$1</f>
        <v>0.000763157894736842</v>
      </c>
      <c r="M144" s="0" t="n">
        <f aca="false">$B144/M$1</f>
        <v>0.000690476190476191</v>
      </c>
      <c r="N144" s="0" t="n">
        <f aca="false">$B144/N$1</f>
        <v>0.000630434782608696</v>
      </c>
      <c r="O144" s="0" t="n">
        <f aca="false">$B144/O$1</f>
        <v>0.00058</v>
      </c>
      <c r="P144" s="0" t="n">
        <f aca="false">$B144/P$1</f>
        <v>0.000537037037037037</v>
      </c>
      <c r="Q144" s="0" t="n">
        <f aca="false">$B144/Q$1</f>
        <v>0.0005</v>
      </c>
      <c r="R144" s="0" t="n">
        <f aca="false">$B144/R$1</f>
        <v>0.000467741935483871</v>
      </c>
      <c r="S144" s="0" t="n">
        <f aca="false">$B144/S$1</f>
        <v>0.000439393939393939</v>
      </c>
      <c r="T144" s="0" t="n">
        <f aca="false">$B144/T$1</f>
        <v>0.000414285714285714</v>
      </c>
      <c r="U144" s="0" t="n">
        <f aca="false">$B144/U$1</f>
        <v>0.000391891891891892</v>
      </c>
      <c r="V144" s="0" t="n">
        <f aca="false">$B144/V$1</f>
        <v>0.000371794871794872</v>
      </c>
      <c r="W144" s="0" t="n">
        <f aca="false">$B144/W$1</f>
        <v>0.000353658536585366</v>
      </c>
      <c r="X144" s="0" t="n">
        <f aca="false">$B144/X$1</f>
        <v>0.000337209302325581</v>
      </c>
      <c r="Y144" s="0" t="n">
        <f aca="false">$B144/Y$1</f>
        <v>0.000322222222222222</v>
      </c>
      <c r="Z144" s="0" t="n">
        <f aca="false">$B144/Z$1</f>
        <v>0.000308510638297872</v>
      </c>
      <c r="AA144" s="0" t="n">
        <f aca="false">$B144/AA$1</f>
        <v>0.000295918367346939</v>
      </c>
      <c r="AB144" s="0" t="n">
        <f aca="false">$B144/AB$1</f>
        <v>0.000284313725490196</v>
      </c>
      <c r="AC144" s="0" t="n">
        <f aca="false">$B144/AC$1</f>
        <v>0.000273584905660377</v>
      </c>
      <c r="AD144" s="0" t="n">
        <f aca="false">$B144/AD$1</f>
        <v>0.000263636363636364</v>
      </c>
      <c r="AE144" s="0" t="n">
        <f aca="false">$B144/AE$1</f>
        <v>0.000254385964912281</v>
      </c>
      <c r="AF144" s="0" t="n">
        <f aca="false">$B144/AF$1</f>
        <v>0.000245762711864407</v>
      </c>
      <c r="AG144" s="0" t="n">
        <f aca="false">$B144/AG$1</f>
        <v>0.000237704918032787</v>
      </c>
      <c r="AH144" s="0" t="n">
        <f aca="false">$B144/AH$1</f>
        <v>0.00023015873015873</v>
      </c>
      <c r="AI144" s="0" t="n">
        <f aca="false">$B144/AI$1</f>
        <v>0.000223076923076923</v>
      </c>
      <c r="AJ144" s="0" t="n">
        <f aca="false">$B144/AJ$1</f>
        <v>0.000216417910447761</v>
      </c>
      <c r="AK144" s="0" t="n">
        <f aca="false">$B144/AK$1</f>
        <v>0.000210144927536232</v>
      </c>
      <c r="AL144" s="0" t="n">
        <f aca="false">$B144/AL$1</f>
        <v>0.000204225352112676</v>
      </c>
      <c r="AM144" s="0" t="n">
        <f aca="false">$B144/AM$1</f>
        <v>0.000198630136986301</v>
      </c>
      <c r="AN144" s="0" t="n">
        <f aca="false">$B144/AN$1</f>
        <v>0.000193333333333333</v>
      </c>
      <c r="AO144" s="0" t="n">
        <f aca="false">$B144/AO$1</f>
        <v>0.000188311688311688</v>
      </c>
      <c r="AP144" s="0" t="n">
        <f aca="false">$B144/AP$1</f>
        <v>0.000183544303797468</v>
      </c>
      <c r="AQ144" s="0" t="n">
        <f aca="false">$B144/AQ$1</f>
        <v>0.000179012345679012</v>
      </c>
      <c r="AR144" s="0" t="n">
        <f aca="false">$B144/AR$1</f>
        <v>0.000174698795180723</v>
      </c>
      <c r="AS144" s="0" t="n">
        <f aca="false">$B144/AS$1</f>
        <v>0.000170588235294118</v>
      </c>
      <c r="AT144" s="0" t="n">
        <f aca="false">$B144/AT$1</f>
        <v>0.000166666666666667</v>
      </c>
      <c r="AU144" s="0" t="n">
        <f aca="false">$B144/AU$1</f>
        <v>0.000162921348314607</v>
      </c>
      <c r="AV144" s="0" t="n">
        <f aca="false">$B144/AV$1</f>
        <v>0.000159340659340659</v>
      </c>
      <c r="AW144" s="0" t="n">
        <f aca="false">$B144/AW$1</f>
        <v>0.000155913978494624</v>
      </c>
      <c r="AX144" s="0" t="n">
        <f aca="false">$B144/AX$1</f>
        <v>0.000152631578947368</v>
      </c>
      <c r="AY144" s="0" t="n">
        <f aca="false">$B144/AY$1</f>
        <v>0.000149484536082474</v>
      </c>
      <c r="AZ144" s="0" t="n">
        <f aca="false">$B144/AZ$1</f>
        <v>0.000146464646464646</v>
      </c>
      <c r="BA144" s="0" t="n">
        <f aca="false">$B144/BA$1</f>
        <v>0.000143564356435644</v>
      </c>
      <c r="BB144" s="0" t="n">
        <f aca="false">$B144/BB$1</f>
        <v>0.000140776699029126</v>
      </c>
      <c r="BC144" s="0" t="n">
        <f aca="false">$B144/BC$1</f>
        <v>0.000138095238095238</v>
      </c>
      <c r="BD144" s="0" t="n">
        <f aca="false">$B144/BD$1</f>
        <v>0.000135514018691589</v>
      </c>
      <c r="BE144" s="0" t="n">
        <f aca="false">$B144/BE$1</f>
        <v>0.00013302752293578</v>
      </c>
      <c r="BF144" s="0" t="n">
        <f aca="false">$B144/BF$1</f>
        <v>0.000130630630630631</v>
      </c>
      <c r="BG144" s="0" t="n">
        <f aca="false">$B144/BG$1</f>
        <v>0.000128318584070796</v>
      </c>
      <c r="BH144" s="0" t="n">
        <f aca="false">$B144/BH$1</f>
        <v>0.000126086956521739</v>
      </c>
      <c r="BI144" s="0" t="n">
        <f aca="false">$B144/BI$1</f>
        <v>0.000123931623931624</v>
      </c>
      <c r="BJ144" s="0" t="n">
        <f aca="false">$B144/BJ$1</f>
        <v>0.000121848739495798</v>
      </c>
      <c r="BL144" s="0" t="n">
        <f aca="false">IF($B$138=1,COUNTIF(C144:BJ144,"&gt;="&amp;$C$138),0)</f>
        <v>2</v>
      </c>
      <c r="BM144" s="0" t="n">
        <f aca="false">IF($B$138=1,IF(OR(BS144&gt;=Settings!$B$5,Settings!$C$19&gt;0),MAX(BL144,Settings!$C$19),0),0)</f>
        <v>4</v>
      </c>
      <c r="BN144" s="0" t="n">
        <f aca="false">IF($B$138=1,IF(OR(BS144&gt;=Settings!$B$5,Settings!$C$19&gt;0),MAX(0,(2*MAX(BL144,Settings!$C$19)+1)*$C$138-BS144),MAX(0,Settings!$B$5-BS144)),"")</f>
        <v>0.0227</v>
      </c>
      <c r="BO144" s="0" t="str">
        <f aca="false">IF($B$138=1,IF(OR(BS144&gt;=Settings!$B$5,Settings!$C$19&gt;0),IF(BL144&lt;=Settings!$C$19,"Protected by electorates",IF(Settings!$C$19=0,MIN(BS144-(2*BL144-1)*$D$138,BS144-Settings!$B$5),BS144-(2*BL144-1)*$D$138)),""),"")</f>
        <v>Protected by electorates</v>
      </c>
      <c r="BP144" s="0" t="n">
        <f aca="false">IF($B$138=1,IF(OR(BS144&gt;=Settings!$B$5,Settings!$C$19&gt;0),MAX(0,MIN(1,(BS144/$C$138-(2*MAX(BL144,Settings!$C$19)-1))/2)),MIN(1,BS144/Settings!$B$5)),"")</f>
        <v>0</v>
      </c>
      <c r="BQ144" s="0" t="n">
        <f aca="false">IF(AND($B$138=1,COUNTIF(C144:BJ144,$C$138)&gt;0),1,0)</f>
        <v>0</v>
      </c>
      <c r="BR144" s="0" t="n">
        <f aca="false">IF(AND($B$138=1,COUNTIF(C144:BJ144,$D$138)&gt;0),1,0)</f>
        <v>0</v>
      </c>
      <c r="BS144" s="0" t="n">
        <f aca="false">N(IF(Polls!M21="",Polls!M37,Polls!M21))</f>
        <v>0.0145</v>
      </c>
      <c r="BT144" s="0" t="str">
        <f aca="false">IF(OR(BS144&gt;=Settings!$B$5,Settings!$C$19&gt;0),"Next seat","Threshold")</f>
        <v>Next seat</v>
      </c>
    </row>
    <row r="145" customFormat="false" ht="15" hidden="false" customHeight="false" outlineLevel="0" collapsed="false">
      <c r="A145" s="0" t="s">
        <v>52</v>
      </c>
      <c r="B145" s="0" t="n">
        <f aca="false">IF(OR(BS145&gt;=Settings!$B$5,Settings!$C$20&gt;0),BS145,0)</f>
        <v>0.0614444444444445</v>
      </c>
      <c r="C145" s="0" t="n">
        <f aca="false">$B145/C$1</f>
        <v>0.0614444444444445</v>
      </c>
      <c r="D145" s="0" t="n">
        <f aca="false">$B145/D$1</f>
        <v>0.0204814814814815</v>
      </c>
      <c r="E145" s="0" t="n">
        <f aca="false">$B145/E$1</f>
        <v>0.0122888888888889</v>
      </c>
      <c r="F145" s="0" t="n">
        <f aca="false">$B145/F$1</f>
        <v>0.00877777777777778</v>
      </c>
      <c r="G145" s="0" t="n">
        <f aca="false">$B145/G$1</f>
        <v>0.00682716049382716</v>
      </c>
      <c r="H145" s="0" t="n">
        <f aca="false">$B145/H$1</f>
        <v>0.00558585858585859</v>
      </c>
      <c r="I145" s="0" t="n">
        <f aca="false">$B145/I$1</f>
        <v>0.00472649572649573</v>
      </c>
      <c r="J145" s="0" t="n">
        <f aca="false">$B145/J$1</f>
        <v>0.0040962962962963</v>
      </c>
      <c r="K145" s="0" t="n">
        <f aca="false">$B145/K$1</f>
        <v>0.00361437908496732</v>
      </c>
      <c r="L145" s="0" t="n">
        <f aca="false">$B145/L$1</f>
        <v>0.00323391812865497</v>
      </c>
      <c r="M145" s="0" t="n">
        <f aca="false">$B145/M$1</f>
        <v>0.00292592592592593</v>
      </c>
      <c r="N145" s="0" t="n">
        <f aca="false">$B145/N$1</f>
        <v>0.00267149758454106</v>
      </c>
      <c r="O145" s="0" t="n">
        <f aca="false">$B145/O$1</f>
        <v>0.00245777777777778</v>
      </c>
      <c r="P145" s="0" t="n">
        <f aca="false">$B145/P$1</f>
        <v>0.00227572016460905</v>
      </c>
      <c r="Q145" s="0" t="n">
        <f aca="false">$B145/Q$1</f>
        <v>0.00211877394636015</v>
      </c>
      <c r="R145" s="0" t="n">
        <f aca="false">$B145/R$1</f>
        <v>0.0019820788530466</v>
      </c>
      <c r="S145" s="0" t="n">
        <f aca="false">$B145/S$1</f>
        <v>0.00186195286195286</v>
      </c>
      <c r="T145" s="0" t="n">
        <f aca="false">$B145/T$1</f>
        <v>0.00175555555555556</v>
      </c>
      <c r="U145" s="0" t="n">
        <f aca="false">$B145/U$1</f>
        <v>0.00166066066066066</v>
      </c>
      <c r="V145" s="0" t="n">
        <f aca="false">$B145/V$1</f>
        <v>0.00157549857549858</v>
      </c>
      <c r="W145" s="0" t="n">
        <f aca="false">$B145/W$1</f>
        <v>0.00149864498644986</v>
      </c>
      <c r="X145" s="0" t="n">
        <f aca="false">$B145/X$1</f>
        <v>0.00142894056847545</v>
      </c>
      <c r="Y145" s="0" t="n">
        <f aca="false">$B145/Y$1</f>
        <v>0.00136543209876543</v>
      </c>
      <c r="Z145" s="0" t="n">
        <f aca="false">$B145/Z$1</f>
        <v>0.00130732860520095</v>
      </c>
      <c r="AA145" s="0" t="n">
        <f aca="false">$B145/AA$1</f>
        <v>0.00125396825396825</v>
      </c>
      <c r="AB145" s="0" t="n">
        <f aca="false">$B145/AB$1</f>
        <v>0.00120479302832244</v>
      </c>
      <c r="AC145" s="0" t="n">
        <f aca="false">$B145/AC$1</f>
        <v>0.00115932914046122</v>
      </c>
      <c r="AD145" s="0" t="n">
        <f aca="false">$B145/AD$1</f>
        <v>0.00111717171717172</v>
      </c>
      <c r="AE145" s="0" t="n">
        <f aca="false">$B145/AE$1</f>
        <v>0.00107797270955166</v>
      </c>
      <c r="AF145" s="0" t="n">
        <f aca="false">$B145/AF$1</f>
        <v>0.00104143126177024</v>
      </c>
      <c r="AG145" s="0" t="n">
        <f aca="false">$B145/AG$1</f>
        <v>0.00100728597449909</v>
      </c>
      <c r="AH145" s="0" t="n">
        <f aca="false">$B145/AH$1</f>
        <v>0.000975308641975309</v>
      </c>
      <c r="AI145" s="0" t="n">
        <f aca="false">$B145/AI$1</f>
        <v>0.000945299145299145</v>
      </c>
      <c r="AJ145" s="0" t="n">
        <f aca="false">$B145/AJ$1</f>
        <v>0.000917081260364843</v>
      </c>
      <c r="AK145" s="0" t="n">
        <f aca="false">$B145/AK$1</f>
        <v>0.000890499194847021</v>
      </c>
      <c r="AL145" s="0" t="n">
        <f aca="false">$B145/AL$1</f>
        <v>0.000865414710485133</v>
      </c>
      <c r="AM145" s="0" t="n">
        <f aca="false">$B145/AM$1</f>
        <v>0.000841704718417047</v>
      </c>
      <c r="AN145" s="0" t="n">
        <f aca="false">$B145/AN$1</f>
        <v>0.000819259259259259</v>
      </c>
      <c r="AO145" s="0" t="n">
        <f aca="false">$B145/AO$1</f>
        <v>0.000797979797979798</v>
      </c>
      <c r="AP145" s="0" t="n">
        <f aca="false">$B145/AP$1</f>
        <v>0.000777777777777778</v>
      </c>
      <c r="AQ145" s="0" t="n">
        <f aca="false">$B145/AQ$1</f>
        <v>0.000758573388203018</v>
      </c>
      <c r="AR145" s="0" t="n">
        <f aca="false">$B145/AR$1</f>
        <v>0.000740294511378849</v>
      </c>
      <c r="AS145" s="0" t="n">
        <f aca="false">$B145/AS$1</f>
        <v>0.000722875816993464</v>
      </c>
      <c r="AT145" s="0" t="n">
        <f aca="false">$B145/AT$1</f>
        <v>0.000706257982120051</v>
      </c>
      <c r="AU145" s="0" t="n">
        <f aca="false">$B145/AU$1</f>
        <v>0.000690387016229713</v>
      </c>
      <c r="AV145" s="0" t="n">
        <f aca="false">$B145/AV$1</f>
        <v>0.000675213675213675</v>
      </c>
      <c r="AW145" s="0" t="n">
        <f aca="false">$B145/AW$1</f>
        <v>0.000660692951015532</v>
      </c>
      <c r="AX145" s="0" t="n">
        <f aca="false">$B145/AX$1</f>
        <v>0.000646783625730994</v>
      </c>
      <c r="AY145" s="0" t="n">
        <f aca="false">$B145/AY$1</f>
        <v>0.000633447880870561</v>
      </c>
      <c r="AZ145" s="0" t="n">
        <f aca="false">$B145/AZ$1</f>
        <v>0.000620650953984287</v>
      </c>
      <c r="BA145" s="0" t="n">
        <f aca="false">$B145/BA$1</f>
        <v>0.000608360836083608</v>
      </c>
      <c r="BB145" s="0" t="n">
        <f aca="false">$B145/BB$1</f>
        <v>0.000596548004314995</v>
      </c>
      <c r="BC145" s="0" t="n">
        <f aca="false">$B145/BC$1</f>
        <v>0.000585185185185185</v>
      </c>
      <c r="BD145" s="0" t="n">
        <f aca="false">$B145/BD$1</f>
        <v>0.000574247144340602</v>
      </c>
      <c r="BE145" s="0" t="n">
        <f aca="false">$B145/BE$1</f>
        <v>0.000563710499490316</v>
      </c>
      <c r="BF145" s="0" t="n">
        <f aca="false">$B145/BF$1</f>
        <v>0.000553553553553554</v>
      </c>
      <c r="BG145" s="0" t="n">
        <f aca="false">$B145/BG$1</f>
        <v>0.000543756145526057</v>
      </c>
      <c r="BH145" s="0" t="n">
        <f aca="false">$B145/BH$1</f>
        <v>0.000534299516908213</v>
      </c>
      <c r="BI145" s="0" t="n">
        <f aca="false">$B145/BI$1</f>
        <v>0.000525166191832859</v>
      </c>
      <c r="BJ145" s="0" t="n">
        <f aca="false">$B145/BJ$1</f>
        <v>0.000516339869281046</v>
      </c>
      <c r="BL145" s="0" t="n">
        <f aca="false">IF($B$138=1,COUNTIF(C145:BJ145,"&gt;="&amp;$C$138),0)</f>
        <v>7</v>
      </c>
      <c r="BM145" s="0" t="n">
        <f aca="false">IF($B$138=1,IF(OR(BS145&gt;=Settings!$B$5,Settings!$C$20&gt;0),MAX(BL145,Settings!$C$20),0),0)</f>
        <v>7</v>
      </c>
      <c r="BN145" s="0" t="n">
        <f aca="false">IF($B$138=1,IF(OR(BS145&gt;=Settings!$B$5,Settings!$C$20&gt;0),MAX(0,(2*MAX(BL145,Settings!$C$20)+1)*$C$138-BS145),MAX(0,Settings!$B$5-BS145)),"")</f>
        <v>0.000555555555555552</v>
      </c>
      <c r="BO145" s="0" t="n">
        <f aca="false">IF($B$138=1,IF(OR(BS145&gt;=Settings!$B$5,Settings!$C$20&gt;0),IF(BL145&lt;=Settings!$C$20,"Protected by electorates",IF(Settings!$C$20=0,MIN(BS145-(2*BL145-1)*$D$138,BS145-Settings!$B$5),BS145-(2*BL145-1)*$D$138)),""),"")</f>
        <v>0.00776972624798712</v>
      </c>
      <c r="BP145" s="0" t="n">
        <f aca="false">IF($B$138=1,IF(OR(BS145&gt;=Settings!$B$5,Settings!$C$20&gt;0),MAX(0,MIN(1,(BS145/$C$138-(2*MAX(BL145,Settings!$C$20)-1))/2)),MIN(1,BS145/Settings!$B$5)),"")</f>
        <v>0.932795698924731</v>
      </c>
      <c r="BQ145" s="0" t="n">
        <f aca="false">IF(AND($B$138=1,COUNTIF(C145:BJ145,$C$138)&gt;0),1,0)</f>
        <v>0</v>
      </c>
      <c r="BR145" s="0" t="n">
        <f aca="false">IF(AND($B$138=1,COUNTIF(C145:BJ145,$D$138)&gt;0),1,0)</f>
        <v>0</v>
      </c>
      <c r="BS145" s="0" t="n">
        <f aca="false">N(IF(Polls!N21="",Polls!N37,Polls!N21))</f>
        <v>0.0614444444444445</v>
      </c>
      <c r="BT145" s="0" t="str">
        <f aca="false">IF(OR(BS145&gt;=Settings!$B$5,Settings!$C$20&gt;0),"Next seat","Threshold")</f>
        <v>Next seat</v>
      </c>
    </row>
    <row r="147" customFormat="false" ht="15" hidden="false" customHeight="false" outlineLevel="0" collapsed="false">
      <c r="A147" s="41" t="n">
        <f aca="false">Polls!A22</f>
        <v>0</v>
      </c>
      <c r="B147" s="17" t="n">
        <f aca="false">IF(SUM(BS148:BS154)&gt;0,1,0)</f>
        <v>1</v>
      </c>
      <c r="C147" s="17" t="n">
        <f aca="false">IF(B147=1,LARGE(C148:BJ154,Settings!$B$4),0)</f>
        <v>0.00413333333333333</v>
      </c>
      <c r="D147" s="17" t="n">
        <f aca="false">IF(B147=1,LARGE(C148:BJ154,Settings!$B$4+1),0)</f>
        <v>0.00412882447665056</v>
      </c>
      <c r="E147" s="0" t="str">
        <f aca="false">IF(B147=1,IFERROR(INDEX(A148:A154,MATCH(1,BQ148:BQ154,0)),""),"")</f>
        <v>NZF</v>
      </c>
      <c r="F147" s="0" t="str">
        <f aca="false">IF(B147=1,IFERROR(INDEX(A148:A154,MATCH(1,BR148:BR154,0)),""),"")</f>
        <v>NAT</v>
      </c>
      <c r="G147" s="17" t="n">
        <f aca="false">IF(B147=1,SUM(BM148:BM154)+Settings!$B$10,"")</f>
        <v>122</v>
      </c>
    </row>
    <row r="148" customFormat="false" ht="15" hidden="false" customHeight="false" outlineLevel="0" collapsed="false">
      <c r="A148" s="0" t="s">
        <v>41</v>
      </c>
      <c r="B148" s="0" t="n">
        <f aca="false">IF(OR(BS148&gt;=Settings!$B$5,Settings!$C$14&gt;0),BS148,0)</f>
        <v>0.284888888888889</v>
      </c>
      <c r="C148" s="0" t="n">
        <f aca="false">$B148/C$1</f>
        <v>0.284888888888889</v>
      </c>
      <c r="D148" s="0" t="n">
        <f aca="false">$B148/D$1</f>
        <v>0.094962962962963</v>
      </c>
      <c r="E148" s="0" t="n">
        <f aca="false">$B148/E$1</f>
        <v>0.0569777777777778</v>
      </c>
      <c r="F148" s="0" t="n">
        <f aca="false">$B148/F$1</f>
        <v>0.0406984126984127</v>
      </c>
      <c r="G148" s="0" t="n">
        <f aca="false">$B148/G$1</f>
        <v>0.0316543209876543</v>
      </c>
      <c r="H148" s="0" t="n">
        <f aca="false">$B148/H$1</f>
        <v>0.0258989898989899</v>
      </c>
      <c r="I148" s="0" t="n">
        <f aca="false">$B148/I$1</f>
        <v>0.0219145299145299</v>
      </c>
      <c r="J148" s="0" t="n">
        <f aca="false">$B148/J$1</f>
        <v>0.0189925925925926</v>
      </c>
      <c r="K148" s="0" t="n">
        <f aca="false">$B148/K$1</f>
        <v>0.0167581699346405</v>
      </c>
      <c r="L148" s="0" t="n">
        <f aca="false">$B148/L$1</f>
        <v>0.0149941520467836</v>
      </c>
      <c r="M148" s="0" t="n">
        <f aca="false">$B148/M$1</f>
        <v>0.0135661375661376</v>
      </c>
      <c r="N148" s="0" t="n">
        <f aca="false">$B148/N$1</f>
        <v>0.0123864734299517</v>
      </c>
      <c r="O148" s="0" t="n">
        <f aca="false">$B148/O$1</f>
        <v>0.0113955555555556</v>
      </c>
      <c r="P148" s="0" t="n">
        <f aca="false">$B148/P$1</f>
        <v>0.0105514403292181</v>
      </c>
      <c r="Q148" s="0" t="n">
        <f aca="false">$B148/Q$1</f>
        <v>0.00982375478927203</v>
      </c>
      <c r="R148" s="0" t="n">
        <f aca="false">$B148/R$1</f>
        <v>0.0091899641577061</v>
      </c>
      <c r="S148" s="0" t="n">
        <f aca="false">$B148/S$1</f>
        <v>0.00863299663299663</v>
      </c>
      <c r="T148" s="0" t="n">
        <f aca="false">$B148/T$1</f>
        <v>0.00813968253968254</v>
      </c>
      <c r="U148" s="0" t="n">
        <f aca="false">$B148/U$1</f>
        <v>0.0076996996996997</v>
      </c>
      <c r="V148" s="0" t="n">
        <f aca="false">$B148/V$1</f>
        <v>0.00730484330484331</v>
      </c>
      <c r="W148" s="0" t="n">
        <f aca="false">$B148/W$1</f>
        <v>0.00694850948509485</v>
      </c>
      <c r="X148" s="0" t="n">
        <f aca="false">$B148/X$1</f>
        <v>0.00662532299741602</v>
      </c>
      <c r="Y148" s="0" t="n">
        <f aca="false">$B148/Y$1</f>
        <v>0.00633086419753086</v>
      </c>
      <c r="Z148" s="0" t="n">
        <f aca="false">$B148/Z$1</f>
        <v>0.00606146572104019</v>
      </c>
      <c r="AA148" s="0" t="n">
        <f aca="false">$B148/AA$1</f>
        <v>0.0058140589569161</v>
      </c>
      <c r="AB148" s="0" t="n">
        <f aca="false">$B148/AB$1</f>
        <v>0.00558605664488018</v>
      </c>
      <c r="AC148" s="0" t="n">
        <f aca="false">$B148/AC$1</f>
        <v>0.00537526205450734</v>
      </c>
      <c r="AD148" s="0" t="n">
        <f aca="false">$B148/AD$1</f>
        <v>0.00517979797979798</v>
      </c>
      <c r="AE148" s="0" t="n">
        <f aca="false">$B148/AE$1</f>
        <v>0.00499805068226121</v>
      </c>
      <c r="AF148" s="0" t="n">
        <f aca="false">$B148/AF$1</f>
        <v>0.0048286252354049</v>
      </c>
      <c r="AG148" s="0" t="n">
        <f aca="false">$B148/AG$1</f>
        <v>0.00467030965391621</v>
      </c>
      <c r="AH148" s="0" t="n">
        <f aca="false">$B148/AH$1</f>
        <v>0.00452204585537919</v>
      </c>
      <c r="AI148" s="0" t="n">
        <f aca="false">$B148/AI$1</f>
        <v>0.00438290598290598</v>
      </c>
      <c r="AJ148" s="0" t="n">
        <f aca="false">$B148/AJ$1</f>
        <v>0.00425207296849088</v>
      </c>
      <c r="AK148" s="0" t="n">
        <f aca="false">$B148/AK$1</f>
        <v>0.00412882447665056</v>
      </c>
      <c r="AL148" s="0" t="n">
        <f aca="false">$B148/AL$1</f>
        <v>0.00401251956181534</v>
      </c>
      <c r="AM148" s="0" t="n">
        <f aca="false">$B148/AM$1</f>
        <v>0.00390258751902588</v>
      </c>
      <c r="AN148" s="0" t="n">
        <f aca="false">$B148/AN$1</f>
        <v>0.00379851851851852</v>
      </c>
      <c r="AO148" s="0" t="n">
        <f aca="false">$B148/AO$1</f>
        <v>0.0036998556998557</v>
      </c>
      <c r="AP148" s="0" t="n">
        <f aca="false">$B148/AP$1</f>
        <v>0.00360618846694796</v>
      </c>
      <c r="AQ148" s="0" t="n">
        <f aca="false">$B148/AQ$1</f>
        <v>0.00351714677640604</v>
      </c>
      <c r="AR148" s="0" t="n">
        <f aca="false">$B148/AR$1</f>
        <v>0.00343239625167336</v>
      </c>
      <c r="AS148" s="0" t="n">
        <f aca="false">$B148/AS$1</f>
        <v>0.00335163398692811</v>
      </c>
      <c r="AT148" s="0" t="n">
        <f aca="false">$B148/AT$1</f>
        <v>0.00327458492975734</v>
      </c>
      <c r="AU148" s="0" t="n">
        <f aca="false">$B148/AU$1</f>
        <v>0.00320099875156055</v>
      </c>
      <c r="AV148" s="0" t="n">
        <f aca="false">$B148/AV$1</f>
        <v>0.00313064713064713</v>
      </c>
      <c r="AW148" s="0" t="n">
        <f aca="false">$B148/AW$1</f>
        <v>0.00306332138590203</v>
      </c>
      <c r="AX148" s="0" t="n">
        <f aca="false">$B148/AX$1</f>
        <v>0.00299883040935673</v>
      </c>
      <c r="AY148" s="0" t="n">
        <f aca="false">$B148/AY$1</f>
        <v>0.00293699885452463</v>
      </c>
      <c r="AZ148" s="0" t="n">
        <f aca="false">$B148/AZ$1</f>
        <v>0.00287766554433221</v>
      </c>
      <c r="BA148" s="0" t="n">
        <f aca="false">$B148/BA$1</f>
        <v>0.00282068206820682</v>
      </c>
      <c r="BB148" s="0" t="n">
        <f aca="false">$B148/BB$1</f>
        <v>0.00276591154261057</v>
      </c>
      <c r="BC148" s="0" t="n">
        <f aca="false">$B148/BC$1</f>
        <v>0.00271322751322751</v>
      </c>
      <c r="BD148" s="0" t="n">
        <f aca="false">$B148/BD$1</f>
        <v>0.00266251298026999</v>
      </c>
      <c r="BE148" s="0" t="n">
        <f aca="false">$B148/BE$1</f>
        <v>0.00261365953109072</v>
      </c>
      <c r="BF148" s="0" t="n">
        <f aca="false">$B148/BF$1</f>
        <v>0.00256656656656657</v>
      </c>
      <c r="BG148" s="0" t="n">
        <f aca="false">$B148/BG$1</f>
        <v>0.00252114060963619</v>
      </c>
      <c r="BH148" s="0" t="n">
        <f aca="false">$B148/BH$1</f>
        <v>0.00247729468599034</v>
      </c>
      <c r="BI148" s="0" t="n">
        <f aca="false">$B148/BI$1</f>
        <v>0.0024349477682811</v>
      </c>
      <c r="BJ148" s="0" t="n">
        <f aca="false">$B148/BJ$1</f>
        <v>0.00239402427637722</v>
      </c>
      <c r="BL148" s="0" t="n">
        <f aca="false">IF($B$147=1,COUNTIF(C148:BJ148,"&gt;="&amp;$C$147),0)</f>
        <v>34</v>
      </c>
      <c r="BM148" s="0" t="n">
        <f aca="false">IF($B$147=1,IF(OR(BS148&gt;=Settings!$B$5,Settings!$C$14&gt;0),MAX(BL148,Settings!$C$14),0),0)</f>
        <v>34</v>
      </c>
      <c r="BN148" s="0" t="n">
        <f aca="false">IF($B$147=1,IF(OR(BS148&gt;=Settings!$B$5,Settings!$C$14&gt;0),MAX(0,(2*MAX(BL148,Settings!$C$14)+1)*$C$147-BS148),MAX(0,Settings!$B$5-BS148)),"")</f>
        <v>0.000311111111111095</v>
      </c>
      <c r="BO148" s="0" t="n">
        <f aca="false">IF($B$147=1,IF(OR(BS148&gt;=Settings!$B$5,Settings!$C$14&gt;0),IF(BL148&lt;=Settings!$C$14,"Protected by electorates",IF(Settings!$C$14=0,MIN(BS148-(2*BL148-1)*$D$147,BS148-Settings!$B$5),BS148-(2*BL148-1)*$D$147)),""),"")</f>
        <v>0.00825764895330111</v>
      </c>
      <c r="BP148" s="0" t="n">
        <f aca="false">IF($B$147=1,IF(OR(BS148&gt;=Settings!$B$5,Settings!$C$14&gt;0),MAX(0,MIN(1,(BS148/$C$147-(2*MAX(BL148,Settings!$C$14)-1))/2)),MIN(1,BS148/Settings!$B$5)),"")</f>
        <v>0.962365591397848</v>
      </c>
      <c r="BQ148" s="0" t="n">
        <f aca="false">IF(AND($B$147=1,COUNTIF(C148:BJ148,$C$147)&gt;0),1,0)</f>
        <v>0</v>
      </c>
      <c r="BR148" s="0" t="n">
        <f aca="false">IF(AND($B$147=1,COUNTIF(C148:BJ148,$D$147)&gt;0),1,0)</f>
        <v>1</v>
      </c>
      <c r="BS148" s="0" t="n">
        <f aca="false">N(IF(Polls!H22="",Polls!H37,Polls!H22))</f>
        <v>0.284888888888889</v>
      </c>
      <c r="BT148" s="0" t="str">
        <f aca="false">IF(OR(BS148&gt;=Settings!$B$5,Settings!$C$14&gt;0),"Next seat","Threshold")</f>
        <v>Next seat</v>
      </c>
    </row>
    <row r="149" customFormat="false" ht="15" hidden="false" customHeight="false" outlineLevel="0" collapsed="false">
      <c r="A149" s="0" t="s">
        <v>43</v>
      </c>
      <c r="B149" s="0" t="n">
        <f aca="false">IF(OR(BS149&gt;=Settings!$B$5,Settings!$C$15&gt;0),BS149,0)</f>
        <v>0.279333333333333</v>
      </c>
      <c r="C149" s="0" t="n">
        <f aca="false">$B149/C$1</f>
        <v>0.279333333333333</v>
      </c>
      <c r="D149" s="0" t="n">
        <f aca="false">$B149/D$1</f>
        <v>0.0931111111111111</v>
      </c>
      <c r="E149" s="0" t="n">
        <f aca="false">$B149/E$1</f>
        <v>0.0558666666666667</v>
      </c>
      <c r="F149" s="0" t="n">
        <f aca="false">$B149/F$1</f>
        <v>0.0399047619047619</v>
      </c>
      <c r="G149" s="0" t="n">
        <f aca="false">$B149/G$1</f>
        <v>0.031037037037037</v>
      </c>
      <c r="H149" s="0" t="n">
        <f aca="false">$B149/H$1</f>
        <v>0.0253939393939394</v>
      </c>
      <c r="I149" s="0" t="n">
        <f aca="false">$B149/I$1</f>
        <v>0.0214871794871795</v>
      </c>
      <c r="J149" s="0" t="n">
        <f aca="false">$B149/J$1</f>
        <v>0.0186222222222222</v>
      </c>
      <c r="K149" s="0" t="n">
        <f aca="false">$B149/K$1</f>
        <v>0.0164313725490196</v>
      </c>
      <c r="L149" s="0" t="n">
        <f aca="false">$B149/L$1</f>
        <v>0.0147017543859649</v>
      </c>
      <c r="M149" s="0" t="n">
        <f aca="false">$B149/M$1</f>
        <v>0.0133015873015873</v>
      </c>
      <c r="N149" s="0" t="n">
        <f aca="false">$B149/N$1</f>
        <v>0.0121449275362319</v>
      </c>
      <c r="O149" s="0" t="n">
        <f aca="false">$B149/O$1</f>
        <v>0.0111733333333333</v>
      </c>
      <c r="P149" s="0" t="n">
        <f aca="false">$B149/P$1</f>
        <v>0.0103456790123457</v>
      </c>
      <c r="Q149" s="0" t="n">
        <f aca="false">$B149/Q$1</f>
        <v>0.00963218390804598</v>
      </c>
      <c r="R149" s="0" t="n">
        <f aca="false">$B149/R$1</f>
        <v>0.00901075268817204</v>
      </c>
      <c r="S149" s="0" t="n">
        <f aca="false">$B149/S$1</f>
        <v>0.00846464646464647</v>
      </c>
      <c r="T149" s="0" t="n">
        <f aca="false">$B149/T$1</f>
        <v>0.00798095238095238</v>
      </c>
      <c r="U149" s="0" t="n">
        <f aca="false">$B149/U$1</f>
        <v>0.00754954954954955</v>
      </c>
      <c r="V149" s="0" t="n">
        <f aca="false">$B149/V$1</f>
        <v>0.00716239316239316</v>
      </c>
      <c r="W149" s="0" t="n">
        <f aca="false">$B149/W$1</f>
        <v>0.0068130081300813</v>
      </c>
      <c r="X149" s="0" t="n">
        <f aca="false">$B149/X$1</f>
        <v>0.00649612403100775</v>
      </c>
      <c r="Y149" s="0" t="n">
        <f aca="false">$B149/Y$1</f>
        <v>0.00620740740740741</v>
      </c>
      <c r="Z149" s="0" t="n">
        <f aca="false">$B149/Z$1</f>
        <v>0.00594326241134752</v>
      </c>
      <c r="AA149" s="0" t="n">
        <f aca="false">$B149/AA$1</f>
        <v>0.00570068027210885</v>
      </c>
      <c r="AB149" s="0" t="n">
        <f aca="false">$B149/AB$1</f>
        <v>0.00547712418300654</v>
      </c>
      <c r="AC149" s="0" t="n">
        <f aca="false">$B149/AC$1</f>
        <v>0.00527044025157233</v>
      </c>
      <c r="AD149" s="0" t="n">
        <f aca="false">$B149/AD$1</f>
        <v>0.00507878787878788</v>
      </c>
      <c r="AE149" s="0" t="n">
        <f aca="false">$B149/AE$1</f>
        <v>0.00490058479532164</v>
      </c>
      <c r="AF149" s="0" t="n">
        <f aca="false">$B149/AF$1</f>
        <v>0.00473446327683616</v>
      </c>
      <c r="AG149" s="0" t="n">
        <f aca="false">$B149/AG$1</f>
        <v>0.0045792349726776</v>
      </c>
      <c r="AH149" s="0" t="n">
        <f aca="false">$B149/AH$1</f>
        <v>0.00443386243386244</v>
      </c>
      <c r="AI149" s="0" t="n">
        <f aca="false">$B149/AI$1</f>
        <v>0.0042974358974359</v>
      </c>
      <c r="AJ149" s="0" t="n">
        <f aca="false">$B149/AJ$1</f>
        <v>0.00416915422885572</v>
      </c>
      <c r="AK149" s="0" t="n">
        <f aca="false">$B149/AK$1</f>
        <v>0.00404830917874396</v>
      </c>
      <c r="AL149" s="0" t="n">
        <f aca="false">$B149/AL$1</f>
        <v>0.00393427230046948</v>
      </c>
      <c r="AM149" s="0" t="n">
        <f aca="false">$B149/AM$1</f>
        <v>0.00382648401826484</v>
      </c>
      <c r="AN149" s="0" t="n">
        <f aca="false">$B149/AN$1</f>
        <v>0.00372444444444445</v>
      </c>
      <c r="AO149" s="0" t="n">
        <f aca="false">$B149/AO$1</f>
        <v>0.00362770562770563</v>
      </c>
      <c r="AP149" s="0" t="n">
        <f aca="false">$B149/AP$1</f>
        <v>0.00353586497890295</v>
      </c>
      <c r="AQ149" s="0" t="n">
        <f aca="false">$B149/AQ$1</f>
        <v>0.00344855967078189</v>
      </c>
      <c r="AR149" s="0" t="n">
        <f aca="false">$B149/AR$1</f>
        <v>0.00336546184738956</v>
      </c>
      <c r="AS149" s="0" t="n">
        <f aca="false">$B149/AS$1</f>
        <v>0.00328627450980392</v>
      </c>
      <c r="AT149" s="0" t="n">
        <f aca="false">$B149/AT$1</f>
        <v>0.00321072796934866</v>
      </c>
      <c r="AU149" s="0" t="n">
        <f aca="false">$B149/AU$1</f>
        <v>0.00313857677902622</v>
      </c>
      <c r="AV149" s="0" t="n">
        <f aca="false">$B149/AV$1</f>
        <v>0.00306959706959707</v>
      </c>
      <c r="AW149" s="0" t="n">
        <f aca="false">$B149/AW$1</f>
        <v>0.00300358422939068</v>
      </c>
      <c r="AX149" s="0" t="n">
        <f aca="false">$B149/AX$1</f>
        <v>0.00294035087719298</v>
      </c>
      <c r="AY149" s="0" t="n">
        <f aca="false">$B149/AY$1</f>
        <v>0.00287972508591065</v>
      </c>
      <c r="AZ149" s="0" t="n">
        <f aca="false">$B149/AZ$1</f>
        <v>0.00282154882154882</v>
      </c>
      <c r="BA149" s="0" t="n">
        <f aca="false">$B149/BA$1</f>
        <v>0.00276567656765677</v>
      </c>
      <c r="BB149" s="0" t="n">
        <f aca="false">$B149/BB$1</f>
        <v>0.00271197411003236</v>
      </c>
      <c r="BC149" s="0" t="n">
        <f aca="false">$B149/BC$1</f>
        <v>0.00266031746031746</v>
      </c>
      <c r="BD149" s="0" t="n">
        <f aca="false">$B149/BD$1</f>
        <v>0.00261059190031153</v>
      </c>
      <c r="BE149" s="0" t="n">
        <f aca="false">$B149/BE$1</f>
        <v>0.00256269113149847</v>
      </c>
      <c r="BF149" s="0" t="n">
        <f aca="false">$B149/BF$1</f>
        <v>0.00251651651651652</v>
      </c>
      <c r="BG149" s="0" t="n">
        <f aca="false">$B149/BG$1</f>
        <v>0.00247197640117994</v>
      </c>
      <c r="BH149" s="0" t="n">
        <f aca="false">$B149/BH$1</f>
        <v>0.00242898550724638</v>
      </c>
      <c r="BI149" s="0" t="n">
        <f aca="false">$B149/BI$1</f>
        <v>0.00238746438746439</v>
      </c>
      <c r="BJ149" s="0" t="n">
        <f aca="false">$B149/BJ$1</f>
        <v>0.00234733893557423</v>
      </c>
      <c r="BL149" s="0" t="n">
        <f aca="false">IF($B$147=1,COUNTIF(C149:BJ149,"&gt;="&amp;$C$147),0)</f>
        <v>34</v>
      </c>
      <c r="BM149" s="0" t="n">
        <f aca="false">IF($B$147=1,IF(OR(BS149&gt;=Settings!$B$5,Settings!$C$15&gt;0),MAX(BL149,Settings!$C$15),0),0)</f>
        <v>34</v>
      </c>
      <c r="BN149" s="0" t="n">
        <f aca="false">IF($B$147=1,IF(OR(BS149&gt;=Settings!$B$5,Settings!$C$15&gt;0),MAX(0,(2*MAX(BL149,Settings!$C$15)+1)*$C$147-BS149),MAX(0,Settings!$B$5-BS149)),"")</f>
        <v>0.00586666666666663</v>
      </c>
      <c r="BO149" s="0" t="n">
        <f aca="false">IF($B$147=1,IF(OR(BS149&gt;=Settings!$B$5,Settings!$C$15&gt;0),IF(BL149&lt;=Settings!$C$15,"Protected by electorates",IF(Settings!$C$15=0,MIN(BS149-(2*BL149-1)*$D$147,BS149-Settings!$B$5),BS149-(2*BL149-1)*$D$147)),""),"")</f>
        <v>0.00270209339774558</v>
      </c>
      <c r="BP149" s="0" t="n">
        <f aca="false">IF($B$147=1,IF(OR(BS149&gt;=Settings!$B$5,Settings!$C$15&gt;0),MAX(0,MIN(1,(BS149/$C$147-(2*MAX(BL149,Settings!$C$15)-1))/2)),MIN(1,BS149/Settings!$B$5)),"")</f>
        <v>0.290322580645167</v>
      </c>
      <c r="BQ149" s="0" t="n">
        <f aca="false">IF(AND($B$147=1,COUNTIF(C149:BJ149,$C$147)&gt;0),1,0)</f>
        <v>0</v>
      </c>
      <c r="BR149" s="0" t="n">
        <f aca="false">IF(AND($B$147=1,COUNTIF(C149:BJ149,$D$147)&gt;0),1,0)</f>
        <v>0</v>
      </c>
      <c r="BS149" s="0" t="n">
        <f aca="false">N(IF(Polls!I22="",Polls!I37,Polls!I22))</f>
        <v>0.279333333333333</v>
      </c>
      <c r="BT149" s="0" t="str">
        <f aca="false">IF(OR(BS149&gt;=Settings!$B$5,Settings!$C$15&gt;0),"Next seat","Threshold")</f>
        <v>Next seat</v>
      </c>
    </row>
    <row r="150" customFormat="false" ht="15" hidden="false" customHeight="false" outlineLevel="0" collapsed="false">
      <c r="A150" s="0" t="s">
        <v>45</v>
      </c>
      <c r="B150" s="0" t="n">
        <f aca="false">IF(OR(BS150&gt;=Settings!$B$5,Settings!$C$16&gt;0),BS150,0)</f>
        <v>0.145555555555556</v>
      </c>
      <c r="C150" s="0" t="n">
        <f aca="false">$B150/C$1</f>
        <v>0.145555555555556</v>
      </c>
      <c r="D150" s="0" t="n">
        <f aca="false">$B150/D$1</f>
        <v>0.0485185185185185</v>
      </c>
      <c r="E150" s="0" t="n">
        <f aca="false">$B150/E$1</f>
        <v>0.0291111111111111</v>
      </c>
      <c r="F150" s="0" t="n">
        <f aca="false">$B150/F$1</f>
        <v>0.0207936507936508</v>
      </c>
      <c r="G150" s="0" t="n">
        <f aca="false">$B150/G$1</f>
        <v>0.0161728395061728</v>
      </c>
      <c r="H150" s="0" t="n">
        <f aca="false">$B150/H$1</f>
        <v>0.0132323232323232</v>
      </c>
      <c r="I150" s="0" t="n">
        <f aca="false">$B150/I$1</f>
        <v>0.0111965811965812</v>
      </c>
      <c r="J150" s="0" t="n">
        <f aca="false">$B150/J$1</f>
        <v>0.0097037037037037</v>
      </c>
      <c r="K150" s="0" t="n">
        <f aca="false">$B150/K$1</f>
        <v>0.00856209150326797</v>
      </c>
      <c r="L150" s="0" t="n">
        <f aca="false">$B150/L$1</f>
        <v>0.00766081871345029</v>
      </c>
      <c r="M150" s="0" t="n">
        <f aca="false">$B150/M$1</f>
        <v>0.00693121693121693</v>
      </c>
      <c r="N150" s="0" t="n">
        <f aca="false">$B150/N$1</f>
        <v>0.00632850241545894</v>
      </c>
      <c r="O150" s="0" t="n">
        <f aca="false">$B150/O$1</f>
        <v>0.00582222222222222</v>
      </c>
      <c r="P150" s="0" t="n">
        <f aca="false">$B150/P$1</f>
        <v>0.00539094650205761</v>
      </c>
      <c r="Q150" s="0" t="n">
        <f aca="false">$B150/Q$1</f>
        <v>0.00501915708812261</v>
      </c>
      <c r="R150" s="0" t="n">
        <f aca="false">$B150/R$1</f>
        <v>0.00469534050179212</v>
      </c>
      <c r="S150" s="0" t="n">
        <f aca="false">$B150/S$1</f>
        <v>0.00441077441077441</v>
      </c>
      <c r="T150" s="0" t="n">
        <f aca="false">$B150/T$1</f>
        <v>0.00415873015873016</v>
      </c>
      <c r="U150" s="0" t="n">
        <f aca="false">$B150/U$1</f>
        <v>0.00393393393393393</v>
      </c>
      <c r="V150" s="0" t="n">
        <f aca="false">$B150/V$1</f>
        <v>0.00373219373219373</v>
      </c>
      <c r="W150" s="0" t="n">
        <f aca="false">$B150/W$1</f>
        <v>0.00355013550135501</v>
      </c>
      <c r="X150" s="0" t="n">
        <f aca="false">$B150/X$1</f>
        <v>0.00338501291989664</v>
      </c>
      <c r="Y150" s="0" t="n">
        <f aca="false">$B150/Y$1</f>
        <v>0.00323456790123457</v>
      </c>
      <c r="Z150" s="0" t="n">
        <f aca="false">$B150/Z$1</f>
        <v>0.00309692671394799</v>
      </c>
      <c r="AA150" s="0" t="n">
        <f aca="false">$B150/AA$1</f>
        <v>0.00297052154195011</v>
      </c>
      <c r="AB150" s="0" t="n">
        <f aca="false">$B150/AB$1</f>
        <v>0.00285403050108932</v>
      </c>
      <c r="AC150" s="0" t="n">
        <f aca="false">$B150/AC$1</f>
        <v>0.00274633123689727</v>
      </c>
      <c r="AD150" s="0" t="n">
        <f aca="false">$B150/AD$1</f>
        <v>0.00264646464646465</v>
      </c>
      <c r="AE150" s="0" t="n">
        <f aca="false">$B150/AE$1</f>
        <v>0.00255360623781676</v>
      </c>
      <c r="AF150" s="0" t="n">
        <f aca="false">$B150/AF$1</f>
        <v>0.00246704331450094</v>
      </c>
      <c r="AG150" s="0" t="n">
        <f aca="false">$B150/AG$1</f>
        <v>0.00238615664845173</v>
      </c>
      <c r="AH150" s="0" t="n">
        <f aca="false">$B150/AH$1</f>
        <v>0.00231040564373898</v>
      </c>
      <c r="AI150" s="0" t="n">
        <f aca="false">$B150/AI$1</f>
        <v>0.00223931623931624</v>
      </c>
      <c r="AJ150" s="0" t="n">
        <f aca="false">$B150/AJ$1</f>
        <v>0.00217247097844113</v>
      </c>
      <c r="AK150" s="0" t="n">
        <f aca="false">$B150/AK$1</f>
        <v>0.00210950080515298</v>
      </c>
      <c r="AL150" s="0" t="n">
        <f aca="false">$B150/AL$1</f>
        <v>0.00205007824726135</v>
      </c>
      <c r="AM150" s="0" t="n">
        <f aca="false">$B150/AM$1</f>
        <v>0.00199391171993912</v>
      </c>
      <c r="AN150" s="0" t="n">
        <f aca="false">$B150/AN$1</f>
        <v>0.00194074074074074</v>
      </c>
      <c r="AO150" s="0" t="n">
        <f aca="false">$B150/AO$1</f>
        <v>0.00189033189033189</v>
      </c>
      <c r="AP150" s="0" t="n">
        <f aca="false">$B150/AP$1</f>
        <v>0.00184247538677918</v>
      </c>
      <c r="AQ150" s="0" t="n">
        <f aca="false">$B150/AQ$1</f>
        <v>0.00179698216735254</v>
      </c>
      <c r="AR150" s="0" t="n">
        <f aca="false">$B150/AR$1</f>
        <v>0.00175368139223561</v>
      </c>
      <c r="AS150" s="0" t="n">
        <f aca="false">$B150/AS$1</f>
        <v>0.00171241830065359</v>
      </c>
      <c r="AT150" s="0" t="n">
        <f aca="false">$B150/AT$1</f>
        <v>0.00167305236270754</v>
      </c>
      <c r="AU150" s="0" t="n">
        <f aca="false">$B150/AU$1</f>
        <v>0.0016354556803995</v>
      </c>
      <c r="AV150" s="0" t="n">
        <f aca="false">$B150/AV$1</f>
        <v>0.0015995115995116</v>
      </c>
      <c r="AW150" s="0" t="n">
        <f aca="false">$B150/AW$1</f>
        <v>0.00156511350059737</v>
      </c>
      <c r="AX150" s="0" t="n">
        <f aca="false">$B150/AX$1</f>
        <v>0.00153216374269006</v>
      </c>
      <c r="AY150" s="0" t="n">
        <f aca="false">$B150/AY$1</f>
        <v>0.00150057273768614</v>
      </c>
      <c r="AZ150" s="0" t="n">
        <f aca="false">$B150/AZ$1</f>
        <v>0.0014702581369248</v>
      </c>
      <c r="BA150" s="0" t="n">
        <f aca="false">$B150/BA$1</f>
        <v>0.00144114411441144</v>
      </c>
      <c r="BB150" s="0" t="n">
        <f aca="false">$B150/BB$1</f>
        <v>0.00141316073354908</v>
      </c>
      <c r="BC150" s="0" t="n">
        <f aca="false">$B150/BC$1</f>
        <v>0.00138624338624339</v>
      </c>
      <c r="BD150" s="0" t="n">
        <f aca="false">$B150/BD$1</f>
        <v>0.00136033229491173</v>
      </c>
      <c r="BE150" s="0" t="n">
        <f aca="false">$B150/BE$1</f>
        <v>0.00133537206931702</v>
      </c>
      <c r="BF150" s="0" t="n">
        <f aca="false">$B150/BF$1</f>
        <v>0.00131131131131131</v>
      </c>
      <c r="BG150" s="0" t="n">
        <f aca="false">$B150/BG$1</f>
        <v>0.00128810226155359</v>
      </c>
      <c r="BH150" s="0" t="n">
        <f aca="false">$B150/BH$1</f>
        <v>0.00126570048309179</v>
      </c>
      <c r="BI150" s="0" t="n">
        <f aca="false">$B150/BI$1</f>
        <v>0.00124406457739791</v>
      </c>
      <c r="BJ150" s="0" t="n">
        <f aca="false">$B150/BJ$1</f>
        <v>0.00122315592903828</v>
      </c>
      <c r="BL150" s="0" t="n">
        <f aca="false">IF($B$147=1,COUNTIF(C150:BJ150,"&gt;="&amp;$C$147),0)</f>
        <v>18</v>
      </c>
      <c r="BM150" s="0" t="n">
        <f aca="false">IF($B$147=1,IF(OR(BS150&gt;=Settings!$B$5,Settings!$C$16&gt;0),MAX(BL150,Settings!$C$16),0),0)</f>
        <v>18</v>
      </c>
      <c r="BN150" s="0" t="n">
        <f aca="false">IF($B$147=1,IF(OR(BS150&gt;=Settings!$B$5,Settings!$C$16&gt;0),MAX(0,(2*MAX(BL150,Settings!$C$16)+1)*$C$147-BS150),MAX(0,Settings!$B$5-BS150)),"")</f>
        <v>0.00737777777777779</v>
      </c>
      <c r="BO150" s="0" t="n">
        <f aca="false">IF($B$147=1,IF(OR(BS150&gt;=Settings!$B$5,Settings!$C$16&gt;0),IF(BL150&lt;=Settings!$C$16,"Protected by electorates",IF(Settings!$C$16=0,MIN(BS150-(2*BL150-1)*$D$147,BS150-Settings!$B$5),BS150-(2*BL150-1)*$D$147)),""),"")</f>
        <v>0.0010466988727858</v>
      </c>
      <c r="BP150" s="0" t="n">
        <f aca="false">IF($B$147=1,IF(OR(BS150&gt;=Settings!$B$5,Settings!$C$16&gt;0),MAX(0,MIN(1,(BS150/$C$147-(2*MAX(BL150,Settings!$C$16)-1))/2)),MIN(1,BS150/Settings!$B$5)),"")</f>
        <v>0.107526881720428</v>
      </c>
      <c r="BQ150" s="0" t="n">
        <f aca="false">IF(AND($B$147=1,COUNTIF(C150:BJ150,$C$147)&gt;0),1,0)</f>
        <v>0</v>
      </c>
      <c r="BR150" s="0" t="n">
        <f aca="false">IF(AND($B$147=1,COUNTIF(C150:BJ150,$D$147)&gt;0),1,0)</f>
        <v>0</v>
      </c>
      <c r="BS150" s="0" t="n">
        <f aca="false">N(IF(Polls!J22="",Polls!J37,Polls!J22))</f>
        <v>0.145555555555556</v>
      </c>
      <c r="BT150" s="0" t="str">
        <f aca="false">IF(OR(BS150&gt;=Settings!$B$5,Settings!$C$16&gt;0),"Next seat","Threshold")</f>
        <v>Next seat</v>
      </c>
    </row>
    <row r="151" customFormat="false" ht="15" hidden="false" customHeight="false" outlineLevel="0" collapsed="false">
      <c r="A151" s="0" t="s">
        <v>46</v>
      </c>
      <c r="B151" s="0" t="n">
        <f aca="false">IF(OR(BS151&gt;=Settings!$B$5,Settings!$C$17&gt;0),BS151,0)</f>
        <v>0.0963333333333333</v>
      </c>
      <c r="C151" s="0" t="n">
        <f aca="false">$B151/C$1</f>
        <v>0.0963333333333333</v>
      </c>
      <c r="D151" s="0" t="n">
        <f aca="false">$B151/D$1</f>
        <v>0.0321111111111111</v>
      </c>
      <c r="E151" s="0" t="n">
        <f aca="false">$B151/E$1</f>
        <v>0.0192666666666667</v>
      </c>
      <c r="F151" s="0" t="n">
        <f aca="false">$B151/F$1</f>
        <v>0.0137619047619048</v>
      </c>
      <c r="G151" s="0" t="n">
        <f aca="false">$B151/G$1</f>
        <v>0.0107037037037037</v>
      </c>
      <c r="H151" s="0" t="n">
        <f aca="false">$B151/H$1</f>
        <v>0.00875757575757576</v>
      </c>
      <c r="I151" s="0" t="n">
        <f aca="false">$B151/I$1</f>
        <v>0.00741025641025641</v>
      </c>
      <c r="J151" s="0" t="n">
        <f aca="false">$B151/J$1</f>
        <v>0.00642222222222222</v>
      </c>
      <c r="K151" s="0" t="n">
        <f aca="false">$B151/K$1</f>
        <v>0.00566666666666667</v>
      </c>
      <c r="L151" s="0" t="n">
        <f aca="false">$B151/L$1</f>
        <v>0.00507017543859649</v>
      </c>
      <c r="M151" s="0" t="n">
        <f aca="false">$B151/M$1</f>
        <v>0.00458730158730159</v>
      </c>
      <c r="N151" s="0" t="n">
        <f aca="false">$B151/N$1</f>
        <v>0.00418840579710145</v>
      </c>
      <c r="O151" s="0" t="n">
        <f aca="false">$B151/O$1</f>
        <v>0.00385333333333333</v>
      </c>
      <c r="P151" s="0" t="n">
        <f aca="false">$B151/P$1</f>
        <v>0.0035679012345679</v>
      </c>
      <c r="Q151" s="0" t="n">
        <f aca="false">$B151/Q$1</f>
        <v>0.00332183908045977</v>
      </c>
      <c r="R151" s="0" t="n">
        <f aca="false">$B151/R$1</f>
        <v>0.00310752688172043</v>
      </c>
      <c r="S151" s="0" t="n">
        <f aca="false">$B151/S$1</f>
        <v>0.00291919191919192</v>
      </c>
      <c r="T151" s="0" t="n">
        <f aca="false">$B151/T$1</f>
        <v>0.00275238095238095</v>
      </c>
      <c r="U151" s="0" t="n">
        <f aca="false">$B151/U$1</f>
        <v>0.0026036036036036</v>
      </c>
      <c r="V151" s="0" t="n">
        <f aca="false">$B151/V$1</f>
        <v>0.00247008547008547</v>
      </c>
      <c r="W151" s="0" t="n">
        <f aca="false">$B151/W$1</f>
        <v>0.00234959349593496</v>
      </c>
      <c r="X151" s="0" t="n">
        <f aca="false">$B151/X$1</f>
        <v>0.00224031007751938</v>
      </c>
      <c r="Y151" s="0" t="n">
        <f aca="false">$B151/Y$1</f>
        <v>0.00214074074074074</v>
      </c>
      <c r="Z151" s="0" t="n">
        <f aca="false">$B151/Z$1</f>
        <v>0.00204964539007092</v>
      </c>
      <c r="AA151" s="0" t="n">
        <f aca="false">$B151/AA$1</f>
        <v>0.00196598639455782</v>
      </c>
      <c r="AB151" s="0" t="n">
        <f aca="false">$B151/AB$1</f>
        <v>0.00188888888888889</v>
      </c>
      <c r="AC151" s="0" t="n">
        <f aca="false">$B151/AC$1</f>
        <v>0.00181761006289308</v>
      </c>
      <c r="AD151" s="0" t="n">
        <f aca="false">$B151/AD$1</f>
        <v>0.00175151515151515</v>
      </c>
      <c r="AE151" s="0" t="n">
        <f aca="false">$B151/AE$1</f>
        <v>0.00169005847953216</v>
      </c>
      <c r="AF151" s="0" t="n">
        <f aca="false">$B151/AF$1</f>
        <v>0.00163276836158192</v>
      </c>
      <c r="AG151" s="0" t="n">
        <f aca="false">$B151/AG$1</f>
        <v>0.0015792349726776</v>
      </c>
      <c r="AH151" s="0" t="n">
        <f aca="false">$B151/AH$1</f>
        <v>0.00152910052910053</v>
      </c>
      <c r="AI151" s="0" t="n">
        <f aca="false">$B151/AI$1</f>
        <v>0.00148205128205128</v>
      </c>
      <c r="AJ151" s="0" t="n">
        <f aca="false">$B151/AJ$1</f>
        <v>0.00143781094527363</v>
      </c>
      <c r="AK151" s="0" t="n">
        <f aca="false">$B151/AK$1</f>
        <v>0.00139613526570048</v>
      </c>
      <c r="AL151" s="0" t="n">
        <f aca="false">$B151/AL$1</f>
        <v>0.00135680751173709</v>
      </c>
      <c r="AM151" s="0" t="n">
        <f aca="false">$B151/AM$1</f>
        <v>0.00131963470319635</v>
      </c>
      <c r="AN151" s="0" t="n">
        <f aca="false">$B151/AN$1</f>
        <v>0.00128444444444444</v>
      </c>
      <c r="AO151" s="0" t="n">
        <f aca="false">$B151/AO$1</f>
        <v>0.00125108225108225</v>
      </c>
      <c r="AP151" s="0" t="n">
        <f aca="false">$B151/AP$1</f>
        <v>0.00121940928270042</v>
      </c>
      <c r="AQ151" s="0" t="n">
        <f aca="false">$B151/AQ$1</f>
        <v>0.00118930041152263</v>
      </c>
      <c r="AR151" s="0" t="n">
        <f aca="false">$B151/AR$1</f>
        <v>0.00116064257028112</v>
      </c>
      <c r="AS151" s="0" t="n">
        <f aca="false">$B151/AS$1</f>
        <v>0.00113333333333333</v>
      </c>
      <c r="AT151" s="0" t="n">
        <f aca="false">$B151/AT$1</f>
        <v>0.00110727969348659</v>
      </c>
      <c r="AU151" s="0" t="n">
        <f aca="false">$B151/AU$1</f>
        <v>0.00108239700374532</v>
      </c>
      <c r="AV151" s="0" t="n">
        <f aca="false">$B151/AV$1</f>
        <v>0.00105860805860806</v>
      </c>
      <c r="AW151" s="0" t="n">
        <f aca="false">$B151/AW$1</f>
        <v>0.00103584229390681</v>
      </c>
      <c r="AX151" s="0" t="n">
        <f aca="false">$B151/AX$1</f>
        <v>0.0010140350877193</v>
      </c>
      <c r="AY151" s="0" t="n">
        <f aca="false">$B151/AY$1</f>
        <v>0.000993127147766323</v>
      </c>
      <c r="AZ151" s="0" t="n">
        <f aca="false">$B151/AZ$1</f>
        <v>0.000973063973063973</v>
      </c>
      <c r="BA151" s="0" t="n">
        <f aca="false">$B151/BA$1</f>
        <v>0.000953795379537954</v>
      </c>
      <c r="BB151" s="0" t="n">
        <f aca="false">$B151/BB$1</f>
        <v>0.000935275080906149</v>
      </c>
      <c r="BC151" s="0" t="n">
        <f aca="false">$B151/BC$1</f>
        <v>0.000917460317460317</v>
      </c>
      <c r="BD151" s="0" t="n">
        <f aca="false">$B151/BD$1</f>
        <v>0.000900311526479751</v>
      </c>
      <c r="BE151" s="0" t="n">
        <f aca="false">$B151/BE$1</f>
        <v>0.000883792048929664</v>
      </c>
      <c r="BF151" s="0" t="n">
        <f aca="false">$B151/BF$1</f>
        <v>0.000867867867867868</v>
      </c>
      <c r="BG151" s="0" t="n">
        <f aca="false">$B151/BG$1</f>
        <v>0.000852507374631268</v>
      </c>
      <c r="BH151" s="0" t="n">
        <f aca="false">$B151/BH$1</f>
        <v>0.00083768115942029</v>
      </c>
      <c r="BI151" s="0" t="n">
        <f aca="false">$B151/BI$1</f>
        <v>0.000823361823361823</v>
      </c>
      <c r="BJ151" s="0" t="n">
        <f aca="false">$B151/BJ$1</f>
        <v>0.00080952380952381</v>
      </c>
      <c r="BL151" s="0" t="n">
        <f aca="false">IF($B$147=1,COUNTIF(C151:BJ151,"&gt;="&amp;$C$147),0)</f>
        <v>12</v>
      </c>
      <c r="BM151" s="0" t="n">
        <f aca="false">IF($B$147=1,IF(OR(BS151&gt;=Settings!$B$5,Settings!$C$17&gt;0),MAX(BL151,Settings!$C$17),0),0)</f>
        <v>12</v>
      </c>
      <c r="BN151" s="0" t="n">
        <f aca="false">IF($B$147=1,IF(OR(BS151&gt;=Settings!$B$5,Settings!$C$17&gt;0),MAX(0,(2*MAX(BL151,Settings!$C$17)+1)*$C$147-BS151),MAX(0,Settings!$B$5-BS151)),"")</f>
        <v>0.00700000000000001</v>
      </c>
      <c r="BO151" s="0" t="n">
        <f aca="false">IF($B$147=1,IF(OR(BS151&gt;=Settings!$B$5,Settings!$C$17&gt;0),IF(BL151&lt;=Settings!$C$17,"Protected by electorates",IF(Settings!$C$17=0,MIN(BS151-(2*BL151-1)*$D$147,BS151-Settings!$B$5),BS151-(2*BL151-1)*$D$147)),""),"")</f>
        <v>0.00137037037037036</v>
      </c>
      <c r="BP151" s="0" t="n">
        <f aca="false">IF($B$147=1,IF(OR(BS151&gt;=Settings!$B$5,Settings!$C$17&gt;0),MAX(0,MIN(1,(BS151/$C$147-(2*MAX(BL151,Settings!$C$17)-1))/2)),MIN(1,BS151/Settings!$B$5)),"")</f>
        <v>0.153225806451612</v>
      </c>
      <c r="BQ151" s="0" t="n">
        <f aca="false">IF(AND($B$147=1,COUNTIF(C151:BJ151,$C$147)&gt;0),1,0)</f>
        <v>0</v>
      </c>
      <c r="BR151" s="0" t="n">
        <f aca="false">IF(AND($B$147=1,COUNTIF(C151:BJ151,$D$147)&gt;0),1,0)</f>
        <v>0</v>
      </c>
      <c r="BS151" s="0" t="n">
        <f aca="false">N(IF(Polls!K22="",Polls!K37,Polls!K22))</f>
        <v>0.0963333333333333</v>
      </c>
      <c r="BT151" s="0" t="str">
        <f aca="false">IF(OR(BS151&gt;=Settings!$B$5,Settings!$C$17&gt;0),"Next seat","Threshold")</f>
        <v>Next seat</v>
      </c>
    </row>
    <row r="152" customFormat="false" ht="15" hidden="false" customHeight="false" outlineLevel="0" collapsed="false">
      <c r="A152" s="0" t="s">
        <v>48</v>
      </c>
      <c r="B152" s="0" t="n">
        <f aca="false">IF(OR(BS152&gt;=Settings!$B$5,Settings!$C$18&gt;0),BS152,0)</f>
        <v>0.103333333333333</v>
      </c>
      <c r="C152" s="0" t="n">
        <f aca="false">$B152/C$1</f>
        <v>0.103333333333333</v>
      </c>
      <c r="D152" s="0" t="n">
        <f aca="false">$B152/D$1</f>
        <v>0.0344444444444444</v>
      </c>
      <c r="E152" s="0" t="n">
        <f aca="false">$B152/E$1</f>
        <v>0.0206666666666667</v>
      </c>
      <c r="F152" s="0" t="n">
        <f aca="false">$B152/F$1</f>
        <v>0.0147619047619048</v>
      </c>
      <c r="G152" s="0" t="n">
        <f aca="false">$B152/G$1</f>
        <v>0.0114814814814815</v>
      </c>
      <c r="H152" s="0" t="n">
        <f aca="false">$B152/H$1</f>
        <v>0.00939393939393939</v>
      </c>
      <c r="I152" s="0" t="n">
        <f aca="false">$B152/I$1</f>
        <v>0.00794871794871795</v>
      </c>
      <c r="J152" s="0" t="n">
        <f aca="false">$B152/J$1</f>
        <v>0.00688888888888889</v>
      </c>
      <c r="K152" s="0" t="n">
        <f aca="false">$B152/K$1</f>
        <v>0.00607843137254902</v>
      </c>
      <c r="L152" s="0" t="n">
        <f aca="false">$B152/L$1</f>
        <v>0.00543859649122807</v>
      </c>
      <c r="M152" s="0" t="n">
        <f aca="false">$B152/M$1</f>
        <v>0.00492063492063492</v>
      </c>
      <c r="N152" s="0" t="n">
        <f aca="false">$B152/N$1</f>
        <v>0.00449275362318841</v>
      </c>
      <c r="O152" s="0" t="n">
        <f aca="false">$B152/O$1</f>
        <v>0.00413333333333333</v>
      </c>
      <c r="P152" s="0" t="n">
        <f aca="false">$B152/P$1</f>
        <v>0.00382716049382716</v>
      </c>
      <c r="Q152" s="0" t="n">
        <f aca="false">$B152/Q$1</f>
        <v>0.0035632183908046</v>
      </c>
      <c r="R152" s="0" t="n">
        <f aca="false">$B152/R$1</f>
        <v>0.00333333333333333</v>
      </c>
      <c r="S152" s="0" t="n">
        <f aca="false">$B152/S$1</f>
        <v>0.00313131313131313</v>
      </c>
      <c r="T152" s="0" t="n">
        <f aca="false">$B152/T$1</f>
        <v>0.00295238095238095</v>
      </c>
      <c r="U152" s="0" t="n">
        <f aca="false">$B152/U$1</f>
        <v>0.00279279279279279</v>
      </c>
      <c r="V152" s="0" t="n">
        <f aca="false">$B152/V$1</f>
        <v>0.00264957264957265</v>
      </c>
      <c r="W152" s="0" t="n">
        <f aca="false">$B152/W$1</f>
        <v>0.00252032520325203</v>
      </c>
      <c r="X152" s="0" t="n">
        <f aca="false">$B152/X$1</f>
        <v>0.0024031007751938</v>
      </c>
      <c r="Y152" s="0" t="n">
        <f aca="false">$B152/Y$1</f>
        <v>0.0022962962962963</v>
      </c>
      <c r="Z152" s="0" t="n">
        <f aca="false">$B152/Z$1</f>
        <v>0.00219858156028369</v>
      </c>
      <c r="AA152" s="0" t="n">
        <f aca="false">$B152/AA$1</f>
        <v>0.00210884353741497</v>
      </c>
      <c r="AB152" s="0" t="n">
        <f aca="false">$B152/AB$1</f>
        <v>0.00202614379084967</v>
      </c>
      <c r="AC152" s="0" t="n">
        <f aca="false">$B152/AC$1</f>
        <v>0.0019496855345912</v>
      </c>
      <c r="AD152" s="0" t="n">
        <f aca="false">$B152/AD$1</f>
        <v>0.00187878787878788</v>
      </c>
      <c r="AE152" s="0" t="n">
        <f aca="false">$B152/AE$1</f>
        <v>0.00181286549707602</v>
      </c>
      <c r="AF152" s="0" t="n">
        <f aca="false">$B152/AF$1</f>
        <v>0.00175141242937853</v>
      </c>
      <c r="AG152" s="0" t="n">
        <f aca="false">$B152/AG$1</f>
        <v>0.00169398907103825</v>
      </c>
      <c r="AH152" s="0" t="n">
        <f aca="false">$B152/AH$1</f>
        <v>0.00164021164021164</v>
      </c>
      <c r="AI152" s="0" t="n">
        <f aca="false">$B152/AI$1</f>
        <v>0.00158974358974359</v>
      </c>
      <c r="AJ152" s="0" t="n">
        <f aca="false">$B152/AJ$1</f>
        <v>0.00154228855721393</v>
      </c>
      <c r="AK152" s="0" t="n">
        <f aca="false">$B152/AK$1</f>
        <v>0.0014975845410628</v>
      </c>
      <c r="AL152" s="0" t="n">
        <f aca="false">$B152/AL$1</f>
        <v>0.00145539906103286</v>
      </c>
      <c r="AM152" s="0" t="n">
        <f aca="false">$B152/AM$1</f>
        <v>0.00141552511415525</v>
      </c>
      <c r="AN152" s="0" t="n">
        <f aca="false">$B152/AN$1</f>
        <v>0.00137777777777778</v>
      </c>
      <c r="AO152" s="0" t="n">
        <f aca="false">$B152/AO$1</f>
        <v>0.00134199134199134</v>
      </c>
      <c r="AP152" s="0" t="n">
        <f aca="false">$B152/AP$1</f>
        <v>0.00130801687763713</v>
      </c>
      <c r="AQ152" s="0" t="n">
        <f aca="false">$B152/AQ$1</f>
        <v>0.00127572016460905</v>
      </c>
      <c r="AR152" s="0" t="n">
        <f aca="false">$B152/AR$1</f>
        <v>0.00124497991967872</v>
      </c>
      <c r="AS152" s="0" t="n">
        <f aca="false">$B152/AS$1</f>
        <v>0.0012156862745098</v>
      </c>
      <c r="AT152" s="0" t="n">
        <f aca="false">$B152/AT$1</f>
        <v>0.00118773946360153</v>
      </c>
      <c r="AU152" s="0" t="n">
        <f aca="false">$B152/AU$1</f>
        <v>0.00116104868913858</v>
      </c>
      <c r="AV152" s="0" t="n">
        <f aca="false">$B152/AV$1</f>
        <v>0.00113553113553114</v>
      </c>
      <c r="AW152" s="0" t="n">
        <f aca="false">$B152/AW$1</f>
        <v>0.00111111111111111</v>
      </c>
      <c r="AX152" s="0" t="n">
        <f aca="false">$B152/AX$1</f>
        <v>0.00108771929824561</v>
      </c>
      <c r="AY152" s="0" t="n">
        <f aca="false">$B152/AY$1</f>
        <v>0.00106529209621993</v>
      </c>
      <c r="AZ152" s="0" t="n">
        <f aca="false">$B152/AZ$1</f>
        <v>0.00104377104377104</v>
      </c>
      <c r="BA152" s="0" t="n">
        <f aca="false">$B152/BA$1</f>
        <v>0.00102310231023102</v>
      </c>
      <c r="BB152" s="0" t="n">
        <f aca="false">$B152/BB$1</f>
        <v>0.00100323624595469</v>
      </c>
      <c r="BC152" s="0" t="n">
        <f aca="false">$B152/BC$1</f>
        <v>0.000984126984126984</v>
      </c>
      <c r="BD152" s="0" t="n">
        <f aca="false">$B152/BD$1</f>
        <v>0.000965732087227414</v>
      </c>
      <c r="BE152" s="0" t="n">
        <f aca="false">$B152/BE$1</f>
        <v>0.000948012232415902</v>
      </c>
      <c r="BF152" s="0" t="n">
        <f aca="false">$B152/BF$1</f>
        <v>0.000930930930930931</v>
      </c>
      <c r="BG152" s="0" t="n">
        <f aca="false">$B152/BG$1</f>
        <v>0.000914454277286136</v>
      </c>
      <c r="BH152" s="0" t="n">
        <f aca="false">$B152/BH$1</f>
        <v>0.000898550724637681</v>
      </c>
      <c r="BI152" s="0" t="n">
        <f aca="false">$B152/BI$1</f>
        <v>0.000883190883190883</v>
      </c>
      <c r="BJ152" s="0" t="n">
        <f aca="false">$B152/BJ$1</f>
        <v>0.000868347338935574</v>
      </c>
      <c r="BL152" s="0" t="n">
        <f aca="false">IF($B$147=1,COUNTIF(C152:BJ152,"&gt;="&amp;$C$147),0)</f>
        <v>13</v>
      </c>
      <c r="BM152" s="0" t="n">
        <f aca="false">IF($B$147=1,IF(OR(BS152&gt;=Settings!$B$5,Settings!$C$18&gt;0),MAX(BL152,Settings!$C$18),0),0)</f>
        <v>13</v>
      </c>
      <c r="BN152" s="0" t="n">
        <f aca="false">IF($B$147=1,IF(OR(BS152&gt;=Settings!$B$5,Settings!$C$18&gt;0),MAX(0,(2*MAX(BL152,Settings!$C$18)+1)*$C$147-BS152),MAX(0,Settings!$B$5-BS152)),"")</f>
        <v>0.00826666666666667</v>
      </c>
      <c r="BO152" s="0" t="n">
        <f aca="false">IF($B$147=1,IF(OR(BS152&gt;=Settings!$B$5,Settings!$C$18&gt;0),IF(BL152&lt;=Settings!$C$18,"Protected by electorates",IF(Settings!$C$18=0,MIN(BS152-(2*BL152-1)*$D$147,BS152-Settings!$B$5),BS152-(2*BL152-1)*$D$147)),""),"")</f>
        <v>0.000112721417069223</v>
      </c>
      <c r="BP152" s="0" t="n">
        <f aca="false">IF($B$147=1,IF(OR(BS152&gt;=Settings!$B$5,Settings!$C$18&gt;0),MAX(0,MIN(1,(BS152/$C$147-(2*MAX(BL152,Settings!$C$18)-1))/2)),MIN(1,BS152/Settings!$B$5)),"")</f>
        <v>0</v>
      </c>
      <c r="BQ152" s="0" t="n">
        <f aca="false">IF(AND($B$147=1,COUNTIF(C152:BJ152,$C$147)&gt;0),1,0)</f>
        <v>1</v>
      </c>
      <c r="BR152" s="0" t="n">
        <f aca="false">IF(AND($B$147=1,COUNTIF(C152:BJ152,$D$147)&gt;0),1,0)</f>
        <v>0</v>
      </c>
      <c r="BS152" s="0" t="n">
        <f aca="false">N(IF(Polls!L22="",Polls!L37,Polls!L22))</f>
        <v>0.103333333333333</v>
      </c>
      <c r="BT152" s="0" t="str">
        <f aca="false">IF(OR(BS152&gt;=Settings!$B$5,Settings!$C$18&gt;0),"Next seat","Threshold")</f>
        <v>Next seat</v>
      </c>
    </row>
    <row r="153" customFormat="false" ht="15" hidden="false" customHeight="false" outlineLevel="0" collapsed="false">
      <c r="A153" s="0" t="s">
        <v>50</v>
      </c>
      <c r="B153" s="0" t="n">
        <f aca="false">IF(OR(BS153&gt;=Settings!$B$5,Settings!$C$19&gt;0),BS153,0)</f>
        <v>0.0145</v>
      </c>
      <c r="C153" s="0" t="n">
        <f aca="false">$B153/C$1</f>
        <v>0.0145</v>
      </c>
      <c r="D153" s="0" t="n">
        <f aca="false">$B153/D$1</f>
        <v>0.00483333333333333</v>
      </c>
      <c r="E153" s="0" t="n">
        <f aca="false">$B153/E$1</f>
        <v>0.0029</v>
      </c>
      <c r="F153" s="0" t="n">
        <f aca="false">$B153/F$1</f>
        <v>0.00207142857142857</v>
      </c>
      <c r="G153" s="0" t="n">
        <f aca="false">$B153/G$1</f>
        <v>0.00161111111111111</v>
      </c>
      <c r="H153" s="0" t="n">
        <f aca="false">$B153/H$1</f>
        <v>0.00131818181818182</v>
      </c>
      <c r="I153" s="0" t="n">
        <f aca="false">$B153/I$1</f>
        <v>0.00111538461538462</v>
      </c>
      <c r="J153" s="0" t="n">
        <f aca="false">$B153/J$1</f>
        <v>0.000966666666666667</v>
      </c>
      <c r="K153" s="0" t="n">
        <f aca="false">$B153/K$1</f>
        <v>0.000852941176470588</v>
      </c>
      <c r="L153" s="0" t="n">
        <f aca="false">$B153/L$1</f>
        <v>0.000763157894736842</v>
      </c>
      <c r="M153" s="0" t="n">
        <f aca="false">$B153/M$1</f>
        <v>0.000690476190476191</v>
      </c>
      <c r="N153" s="0" t="n">
        <f aca="false">$B153/N$1</f>
        <v>0.000630434782608696</v>
      </c>
      <c r="O153" s="0" t="n">
        <f aca="false">$B153/O$1</f>
        <v>0.00058</v>
      </c>
      <c r="P153" s="0" t="n">
        <f aca="false">$B153/P$1</f>
        <v>0.000537037037037037</v>
      </c>
      <c r="Q153" s="0" t="n">
        <f aca="false">$B153/Q$1</f>
        <v>0.0005</v>
      </c>
      <c r="R153" s="0" t="n">
        <f aca="false">$B153/R$1</f>
        <v>0.000467741935483871</v>
      </c>
      <c r="S153" s="0" t="n">
        <f aca="false">$B153/S$1</f>
        <v>0.000439393939393939</v>
      </c>
      <c r="T153" s="0" t="n">
        <f aca="false">$B153/T$1</f>
        <v>0.000414285714285714</v>
      </c>
      <c r="U153" s="0" t="n">
        <f aca="false">$B153/U$1</f>
        <v>0.000391891891891892</v>
      </c>
      <c r="V153" s="0" t="n">
        <f aca="false">$B153/V$1</f>
        <v>0.000371794871794872</v>
      </c>
      <c r="W153" s="0" t="n">
        <f aca="false">$B153/W$1</f>
        <v>0.000353658536585366</v>
      </c>
      <c r="X153" s="0" t="n">
        <f aca="false">$B153/X$1</f>
        <v>0.000337209302325581</v>
      </c>
      <c r="Y153" s="0" t="n">
        <f aca="false">$B153/Y$1</f>
        <v>0.000322222222222222</v>
      </c>
      <c r="Z153" s="0" t="n">
        <f aca="false">$B153/Z$1</f>
        <v>0.000308510638297872</v>
      </c>
      <c r="AA153" s="0" t="n">
        <f aca="false">$B153/AA$1</f>
        <v>0.000295918367346939</v>
      </c>
      <c r="AB153" s="0" t="n">
        <f aca="false">$B153/AB$1</f>
        <v>0.000284313725490196</v>
      </c>
      <c r="AC153" s="0" t="n">
        <f aca="false">$B153/AC$1</f>
        <v>0.000273584905660377</v>
      </c>
      <c r="AD153" s="0" t="n">
        <f aca="false">$B153/AD$1</f>
        <v>0.000263636363636364</v>
      </c>
      <c r="AE153" s="0" t="n">
        <f aca="false">$B153/AE$1</f>
        <v>0.000254385964912281</v>
      </c>
      <c r="AF153" s="0" t="n">
        <f aca="false">$B153/AF$1</f>
        <v>0.000245762711864407</v>
      </c>
      <c r="AG153" s="0" t="n">
        <f aca="false">$B153/AG$1</f>
        <v>0.000237704918032787</v>
      </c>
      <c r="AH153" s="0" t="n">
        <f aca="false">$B153/AH$1</f>
        <v>0.00023015873015873</v>
      </c>
      <c r="AI153" s="0" t="n">
        <f aca="false">$B153/AI$1</f>
        <v>0.000223076923076923</v>
      </c>
      <c r="AJ153" s="0" t="n">
        <f aca="false">$B153/AJ$1</f>
        <v>0.000216417910447761</v>
      </c>
      <c r="AK153" s="0" t="n">
        <f aca="false">$B153/AK$1</f>
        <v>0.000210144927536232</v>
      </c>
      <c r="AL153" s="0" t="n">
        <f aca="false">$B153/AL$1</f>
        <v>0.000204225352112676</v>
      </c>
      <c r="AM153" s="0" t="n">
        <f aca="false">$B153/AM$1</f>
        <v>0.000198630136986301</v>
      </c>
      <c r="AN153" s="0" t="n">
        <f aca="false">$B153/AN$1</f>
        <v>0.000193333333333333</v>
      </c>
      <c r="AO153" s="0" t="n">
        <f aca="false">$B153/AO$1</f>
        <v>0.000188311688311688</v>
      </c>
      <c r="AP153" s="0" t="n">
        <f aca="false">$B153/AP$1</f>
        <v>0.000183544303797468</v>
      </c>
      <c r="AQ153" s="0" t="n">
        <f aca="false">$B153/AQ$1</f>
        <v>0.000179012345679012</v>
      </c>
      <c r="AR153" s="0" t="n">
        <f aca="false">$B153/AR$1</f>
        <v>0.000174698795180723</v>
      </c>
      <c r="AS153" s="0" t="n">
        <f aca="false">$B153/AS$1</f>
        <v>0.000170588235294118</v>
      </c>
      <c r="AT153" s="0" t="n">
        <f aca="false">$B153/AT$1</f>
        <v>0.000166666666666667</v>
      </c>
      <c r="AU153" s="0" t="n">
        <f aca="false">$B153/AU$1</f>
        <v>0.000162921348314607</v>
      </c>
      <c r="AV153" s="0" t="n">
        <f aca="false">$B153/AV$1</f>
        <v>0.000159340659340659</v>
      </c>
      <c r="AW153" s="0" t="n">
        <f aca="false">$B153/AW$1</f>
        <v>0.000155913978494624</v>
      </c>
      <c r="AX153" s="0" t="n">
        <f aca="false">$B153/AX$1</f>
        <v>0.000152631578947368</v>
      </c>
      <c r="AY153" s="0" t="n">
        <f aca="false">$B153/AY$1</f>
        <v>0.000149484536082474</v>
      </c>
      <c r="AZ153" s="0" t="n">
        <f aca="false">$B153/AZ$1</f>
        <v>0.000146464646464646</v>
      </c>
      <c r="BA153" s="0" t="n">
        <f aca="false">$B153/BA$1</f>
        <v>0.000143564356435644</v>
      </c>
      <c r="BB153" s="0" t="n">
        <f aca="false">$B153/BB$1</f>
        <v>0.000140776699029126</v>
      </c>
      <c r="BC153" s="0" t="n">
        <f aca="false">$B153/BC$1</f>
        <v>0.000138095238095238</v>
      </c>
      <c r="BD153" s="0" t="n">
        <f aca="false">$B153/BD$1</f>
        <v>0.000135514018691589</v>
      </c>
      <c r="BE153" s="0" t="n">
        <f aca="false">$B153/BE$1</f>
        <v>0.00013302752293578</v>
      </c>
      <c r="BF153" s="0" t="n">
        <f aca="false">$B153/BF$1</f>
        <v>0.000130630630630631</v>
      </c>
      <c r="BG153" s="0" t="n">
        <f aca="false">$B153/BG$1</f>
        <v>0.000128318584070796</v>
      </c>
      <c r="BH153" s="0" t="n">
        <f aca="false">$B153/BH$1</f>
        <v>0.000126086956521739</v>
      </c>
      <c r="BI153" s="0" t="n">
        <f aca="false">$B153/BI$1</f>
        <v>0.000123931623931624</v>
      </c>
      <c r="BJ153" s="0" t="n">
        <f aca="false">$B153/BJ$1</f>
        <v>0.000121848739495798</v>
      </c>
      <c r="BL153" s="0" t="n">
        <f aca="false">IF($B$147=1,COUNTIF(C153:BJ153,"&gt;="&amp;$C$147),0)</f>
        <v>2</v>
      </c>
      <c r="BM153" s="0" t="n">
        <f aca="false">IF($B$147=1,IF(OR(BS153&gt;=Settings!$B$5,Settings!$C$19&gt;0),MAX(BL153,Settings!$C$19),0),0)</f>
        <v>4</v>
      </c>
      <c r="BN153" s="0" t="n">
        <f aca="false">IF($B$147=1,IF(OR(BS153&gt;=Settings!$B$5,Settings!$C$19&gt;0),MAX(0,(2*MAX(BL153,Settings!$C$19)+1)*$C$147-BS153),MAX(0,Settings!$B$5-BS153)),"")</f>
        <v>0.0227</v>
      </c>
      <c r="BO153" s="0" t="str">
        <f aca="false">IF($B$147=1,IF(OR(BS153&gt;=Settings!$B$5,Settings!$C$19&gt;0),IF(BL153&lt;=Settings!$C$19,"Protected by electorates",IF(Settings!$C$19=0,MIN(BS153-(2*BL153-1)*$D$147,BS153-Settings!$B$5),BS153-(2*BL153-1)*$D$147)),""),"")</f>
        <v>Protected by electorates</v>
      </c>
      <c r="BP153" s="0" t="n">
        <f aca="false">IF($B$147=1,IF(OR(BS153&gt;=Settings!$B$5,Settings!$C$19&gt;0),MAX(0,MIN(1,(BS153/$C$147-(2*MAX(BL153,Settings!$C$19)-1))/2)),MIN(1,BS153/Settings!$B$5)),"")</f>
        <v>0</v>
      </c>
      <c r="BQ153" s="0" t="n">
        <f aca="false">IF(AND($B$147=1,COUNTIF(C153:BJ153,$C$147)&gt;0),1,0)</f>
        <v>0</v>
      </c>
      <c r="BR153" s="0" t="n">
        <f aca="false">IF(AND($B$147=1,COUNTIF(C153:BJ153,$D$147)&gt;0),1,0)</f>
        <v>0</v>
      </c>
      <c r="BS153" s="0" t="n">
        <f aca="false">N(IF(Polls!M22="",Polls!M37,Polls!M22))</f>
        <v>0.0145</v>
      </c>
      <c r="BT153" s="0" t="str">
        <f aca="false">IF(OR(BS153&gt;=Settings!$B$5,Settings!$C$19&gt;0),"Next seat","Threshold")</f>
        <v>Next seat</v>
      </c>
    </row>
    <row r="154" customFormat="false" ht="15" hidden="false" customHeight="false" outlineLevel="0" collapsed="false">
      <c r="A154" s="0" t="s">
        <v>52</v>
      </c>
      <c r="B154" s="0" t="n">
        <f aca="false">IF(OR(BS154&gt;=Settings!$B$5,Settings!$C$20&gt;0),BS154,0)</f>
        <v>0.0614444444444445</v>
      </c>
      <c r="C154" s="0" t="n">
        <f aca="false">$B154/C$1</f>
        <v>0.0614444444444445</v>
      </c>
      <c r="D154" s="0" t="n">
        <f aca="false">$B154/D$1</f>
        <v>0.0204814814814815</v>
      </c>
      <c r="E154" s="0" t="n">
        <f aca="false">$B154/E$1</f>
        <v>0.0122888888888889</v>
      </c>
      <c r="F154" s="0" t="n">
        <f aca="false">$B154/F$1</f>
        <v>0.00877777777777778</v>
      </c>
      <c r="G154" s="0" t="n">
        <f aca="false">$B154/G$1</f>
        <v>0.00682716049382716</v>
      </c>
      <c r="H154" s="0" t="n">
        <f aca="false">$B154/H$1</f>
        <v>0.00558585858585859</v>
      </c>
      <c r="I154" s="0" t="n">
        <f aca="false">$B154/I$1</f>
        <v>0.00472649572649573</v>
      </c>
      <c r="J154" s="0" t="n">
        <f aca="false">$B154/J$1</f>
        <v>0.0040962962962963</v>
      </c>
      <c r="K154" s="0" t="n">
        <f aca="false">$B154/K$1</f>
        <v>0.00361437908496732</v>
      </c>
      <c r="L154" s="0" t="n">
        <f aca="false">$B154/L$1</f>
        <v>0.00323391812865497</v>
      </c>
      <c r="M154" s="0" t="n">
        <f aca="false">$B154/M$1</f>
        <v>0.00292592592592593</v>
      </c>
      <c r="N154" s="0" t="n">
        <f aca="false">$B154/N$1</f>
        <v>0.00267149758454106</v>
      </c>
      <c r="O154" s="0" t="n">
        <f aca="false">$B154/O$1</f>
        <v>0.00245777777777778</v>
      </c>
      <c r="P154" s="0" t="n">
        <f aca="false">$B154/P$1</f>
        <v>0.00227572016460905</v>
      </c>
      <c r="Q154" s="0" t="n">
        <f aca="false">$B154/Q$1</f>
        <v>0.00211877394636015</v>
      </c>
      <c r="R154" s="0" t="n">
        <f aca="false">$B154/R$1</f>
        <v>0.0019820788530466</v>
      </c>
      <c r="S154" s="0" t="n">
        <f aca="false">$B154/S$1</f>
        <v>0.00186195286195286</v>
      </c>
      <c r="T154" s="0" t="n">
        <f aca="false">$B154/T$1</f>
        <v>0.00175555555555556</v>
      </c>
      <c r="U154" s="0" t="n">
        <f aca="false">$B154/U$1</f>
        <v>0.00166066066066066</v>
      </c>
      <c r="V154" s="0" t="n">
        <f aca="false">$B154/V$1</f>
        <v>0.00157549857549858</v>
      </c>
      <c r="W154" s="0" t="n">
        <f aca="false">$B154/W$1</f>
        <v>0.00149864498644986</v>
      </c>
      <c r="X154" s="0" t="n">
        <f aca="false">$B154/X$1</f>
        <v>0.00142894056847545</v>
      </c>
      <c r="Y154" s="0" t="n">
        <f aca="false">$B154/Y$1</f>
        <v>0.00136543209876543</v>
      </c>
      <c r="Z154" s="0" t="n">
        <f aca="false">$B154/Z$1</f>
        <v>0.00130732860520095</v>
      </c>
      <c r="AA154" s="0" t="n">
        <f aca="false">$B154/AA$1</f>
        <v>0.00125396825396825</v>
      </c>
      <c r="AB154" s="0" t="n">
        <f aca="false">$B154/AB$1</f>
        <v>0.00120479302832244</v>
      </c>
      <c r="AC154" s="0" t="n">
        <f aca="false">$B154/AC$1</f>
        <v>0.00115932914046122</v>
      </c>
      <c r="AD154" s="0" t="n">
        <f aca="false">$B154/AD$1</f>
        <v>0.00111717171717172</v>
      </c>
      <c r="AE154" s="0" t="n">
        <f aca="false">$B154/AE$1</f>
        <v>0.00107797270955166</v>
      </c>
      <c r="AF154" s="0" t="n">
        <f aca="false">$B154/AF$1</f>
        <v>0.00104143126177024</v>
      </c>
      <c r="AG154" s="0" t="n">
        <f aca="false">$B154/AG$1</f>
        <v>0.00100728597449909</v>
      </c>
      <c r="AH154" s="0" t="n">
        <f aca="false">$B154/AH$1</f>
        <v>0.000975308641975309</v>
      </c>
      <c r="AI154" s="0" t="n">
        <f aca="false">$B154/AI$1</f>
        <v>0.000945299145299145</v>
      </c>
      <c r="AJ154" s="0" t="n">
        <f aca="false">$B154/AJ$1</f>
        <v>0.000917081260364843</v>
      </c>
      <c r="AK154" s="0" t="n">
        <f aca="false">$B154/AK$1</f>
        <v>0.000890499194847021</v>
      </c>
      <c r="AL154" s="0" t="n">
        <f aca="false">$B154/AL$1</f>
        <v>0.000865414710485133</v>
      </c>
      <c r="AM154" s="0" t="n">
        <f aca="false">$B154/AM$1</f>
        <v>0.000841704718417047</v>
      </c>
      <c r="AN154" s="0" t="n">
        <f aca="false">$B154/AN$1</f>
        <v>0.000819259259259259</v>
      </c>
      <c r="AO154" s="0" t="n">
        <f aca="false">$B154/AO$1</f>
        <v>0.000797979797979798</v>
      </c>
      <c r="AP154" s="0" t="n">
        <f aca="false">$B154/AP$1</f>
        <v>0.000777777777777778</v>
      </c>
      <c r="AQ154" s="0" t="n">
        <f aca="false">$B154/AQ$1</f>
        <v>0.000758573388203018</v>
      </c>
      <c r="AR154" s="0" t="n">
        <f aca="false">$B154/AR$1</f>
        <v>0.000740294511378849</v>
      </c>
      <c r="AS154" s="0" t="n">
        <f aca="false">$B154/AS$1</f>
        <v>0.000722875816993464</v>
      </c>
      <c r="AT154" s="0" t="n">
        <f aca="false">$B154/AT$1</f>
        <v>0.000706257982120051</v>
      </c>
      <c r="AU154" s="0" t="n">
        <f aca="false">$B154/AU$1</f>
        <v>0.000690387016229713</v>
      </c>
      <c r="AV154" s="0" t="n">
        <f aca="false">$B154/AV$1</f>
        <v>0.000675213675213675</v>
      </c>
      <c r="AW154" s="0" t="n">
        <f aca="false">$B154/AW$1</f>
        <v>0.000660692951015532</v>
      </c>
      <c r="AX154" s="0" t="n">
        <f aca="false">$B154/AX$1</f>
        <v>0.000646783625730994</v>
      </c>
      <c r="AY154" s="0" t="n">
        <f aca="false">$B154/AY$1</f>
        <v>0.000633447880870561</v>
      </c>
      <c r="AZ154" s="0" t="n">
        <f aca="false">$B154/AZ$1</f>
        <v>0.000620650953984287</v>
      </c>
      <c r="BA154" s="0" t="n">
        <f aca="false">$B154/BA$1</f>
        <v>0.000608360836083608</v>
      </c>
      <c r="BB154" s="0" t="n">
        <f aca="false">$B154/BB$1</f>
        <v>0.000596548004314995</v>
      </c>
      <c r="BC154" s="0" t="n">
        <f aca="false">$B154/BC$1</f>
        <v>0.000585185185185185</v>
      </c>
      <c r="BD154" s="0" t="n">
        <f aca="false">$B154/BD$1</f>
        <v>0.000574247144340602</v>
      </c>
      <c r="BE154" s="0" t="n">
        <f aca="false">$B154/BE$1</f>
        <v>0.000563710499490316</v>
      </c>
      <c r="BF154" s="0" t="n">
        <f aca="false">$B154/BF$1</f>
        <v>0.000553553553553554</v>
      </c>
      <c r="BG154" s="0" t="n">
        <f aca="false">$B154/BG$1</f>
        <v>0.000543756145526057</v>
      </c>
      <c r="BH154" s="0" t="n">
        <f aca="false">$B154/BH$1</f>
        <v>0.000534299516908213</v>
      </c>
      <c r="BI154" s="0" t="n">
        <f aca="false">$B154/BI$1</f>
        <v>0.000525166191832859</v>
      </c>
      <c r="BJ154" s="0" t="n">
        <f aca="false">$B154/BJ$1</f>
        <v>0.000516339869281046</v>
      </c>
      <c r="BL154" s="0" t="n">
        <f aca="false">IF($B$147=1,COUNTIF(C154:BJ154,"&gt;="&amp;$C$147),0)</f>
        <v>7</v>
      </c>
      <c r="BM154" s="0" t="n">
        <f aca="false">IF($B$147=1,IF(OR(BS154&gt;=Settings!$B$5,Settings!$C$20&gt;0),MAX(BL154,Settings!$C$20),0),0)</f>
        <v>7</v>
      </c>
      <c r="BN154" s="0" t="n">
        <f aca="false">IF($B$147=1,IF(OR(BS154&gt;=Settings!$B$5,Settings!$C$20&gt;0),MAX(0,(2*MAX(BL154,Settings!$C$20)+1)*$C$147-BS154),MAX(0,Settings!$B$5-BS154)),"")</f>
        <v>0.000555555555555552</v>
      </c>
      <c r="BO154" s="0" t="n">
        <f aca="false">IF($B$147=1,IF(OR(BS154&gt;=Settings!$B$5,Settings!$C$20&gt;0),IF(BL154&lt;=Settings!$C$20,"Protected by electorates",IF(Settings!$C$20=0,MIN(BS154-(2*BL154-1)*$D$147,BS154-Settings!$B$5),BS154-(2*BL154-1)*$D$147)),""),"")</f>
        <v>0.00776972624798712</v>
      </c>
      <c r="BP154" s="0" t="n">
        <f aca="false">IF($B$147=1,IF(OR(BS154&gt;=Settings!$B$5,Settings!$C$20&gt;0),MAX(0,MIN(1,(BS154/$C$147-(2*MAX(BL154,Settings!$C$20)-1))/2)),MIN(1,BS154/Settings!$B$5)),"")</f>
        <v>0.932795698924731</v>
      </c>
      <c r="BQ154" s="0" t="n">
        <f aca="false">IF(AND($B$147=1,COUNTIF(C154:BJ154,$C$147)&gt;0),1,0)</f>
        <v>0</v>
      </c>
      <c r="BR154" s="0" t="n">
        <f aca="false">IF(AND($B$147=1,COUNTIF(C154:BJ154,$D$147)&gt;0),1,0)</f>
        <v>0</v>
      </c>
      <c r="BS154" s="0" t="n">
        <f aca="false">N(IF(Polls!N22="",Polls!N37,Polls!N22))</f>
        <v>0.0614444444444445</v>
      </c>
      <c r="BT154" s="0" t="str">
        <f aca="false">IF(OR(BS154&gt;=Settings!$B$5,Settings!$C$20&gt;0),"Next seat","Threshold")</f>
        <v>Next seat</v>
      </c>
    </row>
    <row r="156" customFormat="false" ht="15" hidden="false" customHeight="false" outlineLevel="0" collapsed="false">
      <c r="A156" s="41" t="n">
        <f aca="false">Polls!A23</f>
        <v>0</v>
      </c>
      <c r="B156" s="17" t="n">
        <f aca="false">IF(SUM(BS157:BS163)&gt;0,1,0)</f>
        <v>1</v>
      </c>
      <c r="C156" s="17" t="n">
        <f aca="false">IF(B156=1,LARGE(C157:BJ163,Settings!$B$4),0)</f>
        <v>0.00413333333333333</v>
      </c>
      <c r="D156" s="17" t="n">
        <f aca="false">IF(B156=1,LARGE(C157:BJ163,Settings!$B$4+1),0)</f>
        <v>0.00412882447665056</v>
      </c>
      <c r="E156" s="0" t="str">
        <f aca="false">IF(B156=1,IFERROR(INDEX(A157:A163,MATCH(1,BQ157:BQ163,0)),""),"")</f>
        <v>NZF</v>
      </c>
      <c r="F156" s="0" t="str">
        <f aca="false">IF(B156=1,IFERROR(INDEX(A157:A163,MATCH(1,BR157:BR163,0)),""),"")</f>
        <v>NAT</v>
      </c>
      <c r="G156" s="17" t="n">
        <f aca="false">IF(B156=1,SUM(BM157:BM163)+Settings!$B$10,"")</f>
        <v>122</v>
      </c>
    </row>
    <row r="157" customFormat="false" ht="15" hidden="false" customHeight="false" outlineLevel="0" collapsed="false">
      <c r="A157" s="0" t="s">
        <v>41</v>
      </c>
      <c r="B157" s="0" t="n">
        <f aca="false">IF(OR(BS157&gt;=Settings!$B$5,Settings!$C$14&gt;0),BS157,0)</f>
        <v>0.284888888888889</v>
      </c>
      <c r="C157" s="0" t="n">
        <f aca="false">$B157/C$1</f>
        <v>0.284888888888889</v>
      </c>
      <c r="D157" s="0" t="n">
        <f aca="false">$B157/D$1</f>
        <v>0.094962962962963</v>
      </c>
      <c r="E157" s="0" t="n">
        <f aca="false">$B157/E$1</f>
        <v>0.0569777777777778</v>
      </c>
      <c r="F157" s="0" t="n">
        <f aca="false">$B157/F$1</f>
        <v>0.0406984126984127</v>
      </c>
      <c r="G157" s="0" t="n">
        <f aca="false">$B157/G$1</f>
        <v>0.0316543209876543</v>
      </c>
      <c r="H157" s="0" t="n">
        <f aca="false">$B157/H$1</f>
        <v>0.0258989898989899</v>
      </c>
      <c r="I157" s="0" t="n">
        <f aca="false">$B157/I$1</f>
        <v>0.0219145299145299</v>
      </c>
      <c r="J157" s="0" t="n">
        <f aca="false">$B157/J$1</f>
        <v>0.0189925925925926</v>
      </c>
      <c r="K157" s="0" t="n">
        <f aca="false">$B157/K$1</f>
        <v>0.0167581699346405</v>
      </c>
      <c r="L157" s="0" t="n">
        <f aca="false">$B157/L$1</f>
        <v>0.0149941520467836</v>
      </c>
      <c r="M157" s="0" t="n">
        <f aca="false">$B157/M$1</f>
        <v>0.0135661375661376</v>
      </c>
      <c r="N157" s="0" t="n">
        <f aca="false">$B157/N$1</f>
        <v>0.0123864734299517</v>
      </c>
      <c r="O157" s="0" t="n">
        <f aca="false">$B157/O$1</f>
        <v>0.0113955555555556</v>
      </c>
      <c r="P157" s="0" t="n">
        <f aca="false">$B157/P$1</f>
        <v>0.0105514403292181</v>
      </c>
      <c r="Q157" s="0" t="n">
        <f aca="false">$B157/Q$1</f>
        <v>0.00982375478927203</v>
      </c>
      <c r="R157" s="0" t="n">
        <f aca="false">$B157/R$1</f>
        <v>0.0091899641577061</v>
      </c>
      <c r="S157" s="0" t="n">
        <f aca="false">$B157/S$1</f>
        <v>0.00863299663299663</v>
      </c>
      <c r="T157" s="0" t="n">
        <f aca="false">$B157/T$1</f>
        <v>0.00813968253968254</v>
      </c>
      <c r="U157" s="0" t="n">
        <f aca="false">$B157/U$1</f>
        <v>0.0076996996996997</v>
      </c>
      <c r="V157" s="0" t="n">
        <f aca="false">$B157/V$1</f>
        <v>0.00730484330484331</v>
      </c>
      <c r="W157" s="0" t="n">
        <f aca="false">$B157/W$1</f>
        <v>0.00694850948509485</v>
      </c>
      <c r="X157" s="0" t="n">
        <f aca="false">$B157/X$1</f>
        <v>0.00662532299741602</v>
      </c>
      <c r="Y157" s="0" t="n">
        <f aca="false">$B157/Y$1</f>
        <v>0.00633086419753086</v>
      </c>
      <c r="Z157" s="0" t="n">
        <f aca="false">$B157/Z$1</f>
        <v>0.00606146572104019</v>
      </c>
      <c r="AA157" s="0" t="n">
        <f aca="false">$B157/AA$1</f>
        <v>0.0058140589569161</v>
      </c>
      <c r="AB157" s="0" t="n">
        <f aca="false">$B157/AB$1</f>
        <v>0.00558605664488018</v>
      </c>
      <c r="AC157" s="0" t="n">
        <f aca="false">$B157/AC$1</f>
        <v>0.00537526205450734</v>
      </c>
      <c r="AD157" s="0" t="n">
        <f aca="false">$B157/AD$1</f>
        <v>0.00517979797979798</v>
      </c>
      <c r="AE157" s="0" t="n">
        <f aca="false">$B157/AE$1</f>
        <v>0.00499805068226121</v>
      </c>
      <c r="AF157" s="0" t="n">
        <f aca="false">$B157/AF$1</f>
        <v>0.0048286252354049</v>
      </c>
      <c r="AG157" s="0" t="n">
        <f aca="false">$B157/AG$1</f>
        <v>0.00467030965391621</v>
      </c>
      <c r="AH157" s="0" t="n">
        <f aca="false">$B157/AH$1</f>
        <v>0.00452204585537919</v>
      </c>
      <c r="AI157" s="0" t="n">
        <f aca="false">$B157/AI$1</f>
        <v>0.00438290598290598</v>
      </c>
      <c r="AJ157" s="0" t="n">
        <f aca="false">$B157/AJ$1</f>
        <v>0.00425207296849088</v>
      </c>
      <c r="AK157" s="0" t="n">
        <f aca="false">$B157/AK$1</f>
        <v>0.00412882447665056</v>
      </c>
      <c r="AL157" s="0" t="n">
        <f aca="false">$B157/AL$1</f>
        <v>0.00401251956181534</v>
      </c>
      <c r="AM157" s="0" t="n">
        <f aca="false">$B157/AM$1</f>
        <v>0.00390258751902588</v>
      </c>
      <c r="AN157" s="0" t="n">
        <f aca="false">$B157/AN$1</f>
        <v>0.00379851851851852</v>
      </c>
      <c r="AO157" s="0" t="n">
        <f aca="false">$B157/AO$1</f>
        <v>0.0036998556998557</v>
      </c>
      <c r="AP157" s="0" t="n">
        <f aca="false">$B157/AP$1</f>
        <v>0.00360618846694796</v>
      </c>
      <c r="AQ157" s="0" t="n">
        <f aca="false">$B157/AQ$1</f>
        <v>0.00351714677640604</v>
      </c>
      <c r="AR157" s="0" t="n">
        <f aca="false">$B157/AR$1</f>
        <v>0.00343239625167336</v>
      </c>
      <c r="AS157" s="0" t="n">
        <f aca="false">$B157/AS$1</f>
        <v>0.00335163398692811</v>
      </c>
      <c r="AT157" s="0" t="n">
        <f aca="false">$B157/AT$1</f>
        <v>0.00327458492975734</v>
      </c>
      <c r="AU157" s="0" t="n">
        <f aca="false">$B157/AU$1</f>
        <v>0.00320099875156055</v>
      </c>
      <c r="AV157" s="0" t="n">
        <f aca="false">$B157/AV$1</f>
        <v>0.00313064713064713</v>
      </c>
      <c r="AW157" s="0" t="n">
        <f aca="false">$B157/AW$1</f>
        <v>0.00306332138590203</v>
      </c>
      <c r="AX157" s="0" t="n">
        <f aca="false">$B157/AX$1</f>
        <v>0.00299883040935673</v>
      </c>
      <c r="AY157" s="0" t="n">
        <f aca="false">$B157/AY$1</f>
        <v>0.00293699885452463</v>
      </c>
      <c r="AZ157" s="0" t="n">
        <f aca="false">$B157/AZ$1</f>
        <v>0.00287766554433221</v>
      </c>
      <c r="BA157" s="0" t="n">
        <f aca="false">$B157/BA$1</f>
        <v>0.00282068206820682</v>
      </c>
      <c r="BB157" s="0" t="n">
        <f aca="false">$B157/BB$1</f>
        <v>0.00276591154261057</v>
      </c>
      <c r="BC157" s="0" t="n">
        <f aca="false">$B157/BC$1</f>
        <v>0.00271322751322751</v>
      </c>
      <c r="BD157" s="0" t="n">
        <f aca="false">$B157/BD$1</f>
        <v>0.00266251298026999</v>
      </c>
      <c r="BE157" s="0" t="n">
        <f aca="false">$B157/BE$1</f>
        <v>0.00261365953109072</v>
      </c>
      <c r="BF157" s="0" t="n">
        <f aca="false">$B157/BF$1</f>
        <v>0.00256656656656657</v>
      </c>
      <c r="BG157" s="0" t="n">
        <f aca="false">$B157/BG$1</f>
        <v>0.00252114060963619</v>
      </c>
      <c r="BH157" s="0" t="n">
        <f aca="false">$B157/BH$1</f>
        <v>0.00247729468599034</v>
      </c>
      <c r="BI157" s="0" t="n">
        <f aca="false">$B157/BI$1</f>
        <v>0.0024349477682811</v>
      </c>
      <c r="BJ157" s="0" t="n">
        <f aca="false">$B157/BJ$1</f>
        <v>0.00239402427637722</v>
      </c>
      <c r="BL157" s="0" t="n">
        <f aca="false">IF($B$156=1,COUNTIF(C157:BJ157,"&gt;="&amp;$C$156),0)</f>
        <v>34</v>
      </c>
      <c r="BM157" s="0" t="n">
        <f aca="false">IF($B$156=1,IF(OR(BS157&gt;=Settings!$B$5,Settings!$C$14&gt;0),MAX(BL157,Settings!$C$14),0),0)</f>
        <v>34</v>
      </c>
      <c r="BN157" s="0" t="n">
        <f aca="false">IF($B$156=1,IF(OR(BS157&gt;=Settings!$B$5,Settings!$C$14&gt;0),MAX(0,(2*MAX(BL157,Settings!$C$14)+1)*$C$156-BS157),MAX(0,Settings!$B$5-BS157)),"")</f>
        <v>0.000311111111111095</v>
      </c>
      <c r="BO157" s="0" t="n">
        <f aca="false">IF($B$156=1,IF(OR(BS157&gt;=Settings!$B$5,Settings!$C$14&gt;0),IF(BL157&lt;=Settings!$C$14,"Protected by electorates",IF(Settings!$C$14=0,MIN(BS157-(2*BL157-1)*$D$156,BS157-Settings!$B$5),BS157-(2*BL157-1)*$D$156)),""),"")</f>
        <v>0.00825764895330111</v>
      </c>
      <c r="BP157" s="0" t="n">
        <f aca="false">IF($B$156=1,IF(OR(BS157&gt;=Settings!$B$5,Settings!$C$14&gt;0),MAX(0,MIN(1,(BS157/$C$156-(2*MAX(BL157,Settings!$C$14)-1))/2)),MIN(1,BS157/Settings!$B$5)),"")</f>
        <v>0.962365591397848</v>
      </c>
      <c r="BQ157" s="0" t="n">
        <f aca="false">IF(AND($B$156=1,COUNTIF(C157:BJ157,$C$156)&gt;0),1,0)</f>
        <v>0</v>
      </c>
      <c r="BR157" s="0" t="n">
        <f aca="false">IF(AND($B$156=1,COUNTIF(C157:BJ157,$D$156)&gt;0),1,0)</f>
        <v>1</v>
      </c>
      <c r="BS157" s="0" t="n">
        <f aca="false">N(IF(Polls!H23="",Polls!H37,Polls!H23))</f>
        <v>0.284888888888889</v>
      </c>
      <c r="BT157" s="0" t="str">
        <f aca="false">IF(OR(BS157&gt;=Settings!$B$5,Settings!$C$14&gt;0),"Next seat","Threshold")</f>
        <v>Next seat</v>
      </c>
    </row>
    <row r="158" customFormat="false" ht="15" hidden="false" customHeight="false" outlineLevel="0" collapsed="false">
      <c r="A158" s="0" t="s">
        <v>43</v>
      </c>
      <c r="B158" s="0" t="n">
        <f aca="false">IF(OR(BS158&gt;=Settings!$B$5,Settings!$C$15&gt;0),BS158,0)</f>
        <v>0.279333333333333</v>
      </c>
      <c r="C158" s="0" t="n">
        <f aca="false">$B158/C$1</f>
        <v>0.279333333333333</v>
      </c>
      <c r="D158" s="0" t="n">
        <f aca="false">$B158/D$1</f>
        <v>0.0931111111111111</v>
      </c>
      <c r="E158" s="0" t="n">
        <f aca="false">$B158/E$1</f>
        <v>0.0558666666666667</v>
      </c>
      <c r="F158" s="0" t="n">
        <f aca="false">$B158/F$1</f>
        <v>0.0399047619047619</v>
      </c>
      <c r="G158" s="0" t="n">
        <f aca="false">$B158/G$1</f>
        <v>0.031037037037037</v>
      </c>
      <c r="H158" s="0" t="n">
        <f aca="false">$B158/H$1</f>
        <v>0.0253939393939394</v>
      </c>
      <c r="I158" s="0" t="n">
        <f aca="false">$B158/I$1</f>
        <v>0.0214871794871795</v>
      </c>
      <c r="J158" s="0" t="n">
        <f aca="false">$B158/J$1</f>
        <v>0.0186222222222222</v>
      </c>
      <c r="K158" s="0" t="n">
        <f aca="false">$B158/K$1</f>
        <v>0.0164313725490196</v>
      </c>
      <c r="L158" s="0" t="n">
        <f aca="false">$B158/L$1</f>
        <v>0.0147017543859649</v>
      </c>
      <c r="M158" s="0" t="n">
        <f aca="false">$B158/M$1</f>
        <v>0.0133015873015873</v>
      </c>
      <c r="N158" s="0" t="n">
        <f aca="false">$B158/N$1</f>
        <v>0.0121449275362319</v>
      </c>
      <c r="O158" s="0" t="n">
        <f aca="false">$B158/O$1</f>
        <v>0.0111733333333333</v>
      </c>
      <c r="P158" s="0" t="n">
        <f aca="false">$B158/P$1</f>
        <v>0.0103456790123457</v>
      </c>
      <c r="Q158" s="0" t="n">
        <f aca="false">$B158/Q$1</f>
        <v>0.00963218390804598</v>
      </c>
      <c r="R158" s="0" t="n">
        <f aca="false">$B158/R$1</f>
        <v>0.00901075268817204</v>
      </c>
      <c r="S158" s="0" t="n">
        <f aca="false">$B158/S$1</f>
        <v>0.00846464646464647</v>
      </c>
      <c r="T158" s="0" t="n">
        <f aca="false">$B158/T$1</f>
        <v>0.00798095238095238</v>
      </c>
      <c r="U158" s="0" t="n">
        <f aca="false">$B158/U$1</f>
        <v>0.00754954954954955</v>
      </c>
      <c r="V158" s="0" t="n">
        <f aca="false">$B158/V$1</f>
        <v>0.00716239316239316</v>
      </c>
      <c r="W158" s="0" t="n">
        <f aca="false">$B158/W$1</f>
        <v>0.0068130081300813</v>
      </c>
      <c r="X158" s="0" t="n">
        <f aca="false">$B158/X$1</f>
        <v>0.00649612403100775</v>
      </c>
      <c r="Y158" s="0" t="n">
        <f aca="false">$B158/Y$1</f>
        <v>0.00620740740740741</v>
      </c>
      <c r="Z158" s="0" t="n">
        <f aca="false">$B158/Z$1</f>
        <v>0.00594326241134752</v>
      </c>
      <c r="AA158" s="0" t="n">
        <f aca="false">$B158/AA$1</f>
        <v>0.00570068027210885</v>
      </c>
      <c r="AB158" s="0" t="n">
        <f aca="false">$B158/AB$1</f>
        <v>0.00547712418300654</v>
      </c>
      <c r="AC158" s="0" t="n">
        <f aca="false">$B158/AC$1</f>
        <v>0.00527044025157233</v>
      </c>
      <c r="AD158" s="0" t="n">
        <f aca="false">$B158/AD$1</f>
        <v>0.00507878787878788</v>
      </c>
      <c r="AE158" s="0" t="n">
        <f aca="false">$B158/AE$1</f>
        <v>0.00490058479532164</v>
      </c>
      <c r="AF158" s="0" t="n">
        <f aca="false">$B158/AF$1</f>
        <v>0.00473446327683616</v>
      </c>
      <c r="AG158" s="0" t="n">
        <f aca="false">$B158/AG$1</f>
        <v>0.0045792349726776</v>
      </c>
      <c r="AH158" s="0" t="n">
        <f aca="false">$B158/AH$1</f>
        <v>0.00443386243386244</v>
      </c>
      <c r="AI158" s="0" t="n">
        <f aca="false">$B158/AI$1</f>
        <v>0.0042974358974359</v>
      </c>
      <c r="AJ158" s="0" t="n">
        <f aca="false">$B158/AJ$1</f>
        <v>0.00416915422885572</v>
      </c>
      <c r="AK158" s="0" t="n">
        <f aca="false">$B158/AK$1</f>
        <v>0.00404830917874396</v>
      </c>
      <c r="AL158" s="0" t="n">
        <f aca="false">$B158/AL$1</f>
        <v>0.00393427230046948</v>
      </c>
      <c r="AM158" s="0" t="n">
        <f aca="false">$B158/AM$1</f>
        <v>0.00382648401826484</v>
      </c>
      <c r="AN158" s="0" t="n">
        <f aca="false">$B158/AN$1</f>
        <v>0.00372444444444445</v>
      </c>
      <c r="AO158" s="0" t="n">
        <f aca="false">$B158/AO$1</f>
        <v>0.00362770562770563</v>
      </c>
      <c r="AP158" s="0" t="n">
        <f aca="false">$B158/AP$1</f>
        <v>0.00353586497890295</v>
      </c>
      <c r="AQ158" s="0" t="n">
        <f aca="false">$B158/AQ$1</f>
        <v>0.00344855967078189</v>
      </c>
      <c r="AR158" s="0" t="n">
        <f aca="false">$B158/AR$1</f>
        <v>0.00336546184738956</v>
      </c>
      <c r="AS158" s="0" t="n">
        <f aca="false">$B158/AS$1</f>
        <v>0.00328627450980392</v>
      </c>
      <c r="AT158" s="0" t="n">
        <f aca="false">$B158/AT$1</f>
        <v>0.00321072796934866</v>
      </c>
      <c r="AU158" s="0" t="n">
        <f aca="false">$B158/AU$1</f>
        <v>0.00313857677902622</v>
      </c>
      <c r="AV158" s="0" t="n">
        <f aca="false">$B158/AV$1</f>
        <v>0.00306959706959707</v>
      </c>
      <c r="AW158" s="0" t="n">
        <f aca="false">$B158/AW$1</f>
        <v>0.00300358422939068</v>
      </c>
      <c r="AX158" s="0" t="n">
        <f aca="false">$B158/AX$1</f>
        <v>0.00294035087719298</v>
      </c>
      <c r="AY158" s="0" t="n">
        <f aca="false">$B158/AY$1</f>
        <v>0.00287972508591065</v>
      </c>
      <c r="AZ158" s="0" t="n">
        <f aca="false">$B158/AZ$1</f>
        <v>0.00282154882154882</v>
      </c>
      <c r="BA158" s="0" t="n">
        <f aca="false">$B158/BA$1</f>
        <v>0.00276567656765677</v>
      </c>
      <c r="BB158" s="0" t="n">
        <f aca="false">$B158/BB$1</f>
        <v>0.00271197411003236</v>
      </c>
      <c r="BC158" s="0" t="n">
        <f aca="false">$B158/BC$1</f>
        <v>0.00266031746031746</v>
      </c>
      <c r="BD158" s="0" t="n">
        <f aca="false">$B158/BD$1</f>
        <v>0.00261059190031153</v>
      </c>
      <c r="BE158" s="0" t="n">
        <f aca="false">$B158/BE$1</f>
        <v>0.00256269113149847</v>
      </c>
      <c r="BF158" s="0" t="n">
        <f aca="false">$B158/BF$1</f>
        <v>0.00251651651651652</v>
      </c>
      <c r="BG158" s="0" t="n">
        <f aca="false">$B158/BG$1</f>
        <v>0.00247197640117994</v>
      </c>
      <c r="BH158" s="0" t="n">
        <f aca="false">$B158/BH$1</f>
        <v>0.00242898550724638</v>
      </c>
      <c r="BI158" s="0" t="n">
        <f aca="false">$B158/BI$1</f>
        <v>0.00238746438746439</v>
      </c>
      <c r="BJ158" s="0" t="n">
        <f aca="false">$B158/BJ$1</f>
        <v>0.00234733893557423</v>
      </c>
      <c r="BL158" s="0" t="n">
        <f aca="false">IF($B$156=1,COUNTIF(C158:BJ158,"&gt;="&amp;$C$156),0)</f>
        <v>34</v>
      </c>
      <c r="BM158" s="0" t="n">
        <f aca="false">IF($B$156=1,IF(OR(BS158&gt;=Settings!$B$5,Settings!$C$15&gt;0),MAX(BL158,Settings!$C$15),0),0)</f>
        <v>34</v>
      </c>
      <c r="BN158" s="0" t="n">
        <f aca="false">IF($B$156=1,IF(OR(BS158&gt;=Settings!$B$5,Settings!$C$15&gt;0),MAX(0,(2*MAX(BL158,Settings!$C$15)+1)*$C$156-BS158),MAX(0,Settings!$B$5-BS158)),"")</f>
        <v>0.00586666666666663</v>
      </c>
      <c r="BO158" s="0" t="n">
        <f aca="false">IF($B$156=1,IF(OR(BS158&gt;=Settings!$B$5,Settings!$C$15&gt;0),IF(BL158&lt;=Settings!$C$15,"Protected by electorates",IF(Settings!$C$15=0,MIN(BS158-(2*BL158-1)*$D$156,BS158-Settings!$B$5),BS158-(2*BL158-1)*$D$156)),""),"")</f>
        <v>0.00270209339774558</v>
      </c>
      <c r="BP158" s="0" t="n">
        <f aca="false">IF($B$156=1,IF(OR(BS158&gt;=Settings!$B$5,Settings!$C$15&gt;0),MAX(0,MIN(1,(BS158/$C$156-(2*MAX(BL158,Settings!$C$15)-1))/2)),MIN(1,BS158/Settings!$B$5)),"")</f>
        <v>0.290322580645167</v>
      </c>
      <c r="BQ158" s="0" t="n">
        <f aca="false">IF(AND($B$156=1,COUNTIF(C158:BJ158,$C$156)&gt;0),1,0)</f>
        <v>0</v>
      </c>
      <c r="BR158" s="0" t="n">
        <f aca="false">IF(AND($B$156=1,COUNTIF(C158:BJ158,$D$156)&gt;0),1,0)</f>
        <v>0</v>
      </c>
      <c r="BS158" s="0" t="n">
        <f aca="false">N(IF(Polls!I23="",Polls!I37,Polls!I23))</f>
        <v>0.279333333333333</v>
      </c>
      <c r="BT158" s="0" t="str">
        <f aca="false">IF(OR(BS158&gt;=Settings!$B$5,Settings!$C$15&gt;0),"Next seat","Threshold")</f>
        <v>Next seat</v>
      </c>
    </row>
    <row r="159" customFormat="false" ht="15" hidden="false" customHeight="false" outlineLevel="0" collapsed="false">
      <c r="A159" s="0" t="s">
        <v>45</v>
      </c>
      <c r="B159" s="0" t="n">
        <f aca="false">IF(OR(BS159&gt;=Settings!$B$5,Settings!$C$16&gt;0),BS159,0)</f>
        <v>0.145555555555556</v>
      </c>
      <c r="C159" s="0" t="n">
        <f aca="false">$B159/C$1</f>
        <v>0.145555555555556</v>
      </c>
      <c r="D159" s="0" t="n">
        <f aca="false">$B159/D$1</f>
        <v>0.0485185185185185</v>
      </c>
      <c r="E159" s="0" t="n">
        <f aca="false">$B159/E$1</f>
        <v>0.0291111111111111</v>
      </c>
      <c r="F159" s="0" t="n">
        <f aca="false">$B159/F$1</f>
        <v>0.0207936507936508</v>
      </c>
      <c r="G159" s="0" t="n">
        <f aca="false">$B159/G$1</f>
        <v>0.0161728395061728</v>
      </c>
      <c r="H159" s="0" t="n">
        <f aca="false">$B159/H$1</f>
        <v>0.0132323232323232</v>
      </c>
      <c r="I159" s="0" t="n">
        <f aca="false">$B159/I$1</f>
        <v>0.0111965811965812</v>
      </c>
      <c r="J159" s="0" t="n">
        <f aca="false">$B159/J$1</f>
        <v>0.0097037037037037</v>
      </c>
      <c r="K159" s="0" t="n">
        <f aca="false">$B159/K$1</f>
        <v>0.00856209150326797</v>
      </c>
      <c r="L159" s="0" t="n">
        <f aca="false">$B159/L$1</f>
        <v>0.00766081871345029</v>
      </c>
      <c r="M159" s="0" t="n">
        <f aca="false">$B159/M$1</f>
        <v>0.00693121693121693</v>
      </c>
      <c r="N159" s="0" t="n">
        <f aca="false">$B159/N$1</f>
        <v>0.00632850241545894</v>
      </c>
      <c r="O159" s="0" t="n">
        <f aca="false">$B159/O$1</f>
        <v>0.00582222222222222</v>
      </c>
      <c r="P159" s="0" t="n">
        <f aca="false">$B159/P$1</f>
        <v>0.00539094650205761</v>
      </c>
      <c r="Q159" s="0" t="n">
        <f aca="false">$B159/Q$1</f>
        <v>0.00501915708812261</v>
      </c>
      <c r="R159" s="0" t="n">
        <f aca="false">$B159/R$1</f>
        <v>0.00469534050179212</v>
      </c>
      <c r="S159" s="0" t="n">
        <f aca="false">$B159/S$1</f>
        <v>0.00441077441077441</v>
      </c>
      <c r="T159" s="0" t="n">
        <f aca="false">$B159/T$1</f>
        <v>0.00415873015873016</v>
      </c>
      <c r="U159" s="0" t="n">
        <f aca="false">$B159/U$1</f>
        <v>0.00393393393393393</v>
      </c>
      <c r="V159" s="0" t="n">
        <f aca="false">$B159/V$1</f>
        <v>0.00373219373219373</v>
      </c>
      <c r="W159" s="0" t="n">
        <f aca="false">$B159/W$1</f>
        <v>0.00355013550135501</v>
      </c>
      <c r="X159" s="0" t="n">
        <f aca="false">$B159/X$1</f>
        <v>0.00338501291989664</v>
      </c>
      <c r="Y159" s="0" t="n">
        <f aca="false">$B159/Y$1</f>
        <v>0.00323456790123457</v>
      </c>
      <c r="Z159" s="0" t="n">
        <f aca="false">$B159/Z$1</f>
        <v>0.00309692671394799</v>
      </c>
      <c r="AA159" s="0" t="n">
        <f aca="false">$B159/AA$1</f>
        <v>0.00297052154195011</v>
      </c>
      <c r="AB159" s="0" t="n">
        <f aca="false">$B159/AB$1</f>
        <v>0.00285403050108932</v>
      </c>
      <c r="AC159" s="0" t="n">
        <f aca="false">$B159/AC$1</f>
        <v>0.00274633123689727</v>
      </c>
      <c r="AD159" s="0" t="n">
        <f aca="false">$B159/AD$1</f>
        <v>0.00264646464646465</v>
      </c>
      <c r="AE159" s="0" t="n">
        <f aca="false">$B159/AE$1</f>
        <v>0.00255360623781676</v>
      </c>
      <c r="AF159" s="0" t="n">
        <f aca="false">$B159/AF$1</f>
        <v>0.00246704331450094</v>
      </c>
      <c r="AG159" s="0" t="n">
        <f aca="false">$B159/AG$1</f>
        <v>0.00238615664845173</v>
      </c>
      <c r="AH159" s="0" t="n">
        <f aca="false">$B159/AH$1</f>
        <v>0.00231040564373898</v>
      </c>
      <c r="AI159" s="0" t="n">
        <f aca="false">$B159/AI$1</f>
        <v>0.00223931623931624</v>
      </c>
      <c r="AJ159" s="0" t="n">
        <f aca="false">$B159/AJ$1</f>
        <v>0.00217247097844113</v>
      </c>
      <c r="AK159" s="0" t="n">
        <f aca="false">$B159/AK$1</f>
        <v>0.00210950080515298</v>
      </c>
      <c r="AL159" s="0" t="n">
        <f aca="false">$B159/AL$1</f>
        <v>0.00205007824726135</v>
      </c>
      <c r="AM159" s="0" t="n">
        <f aca="false">$B159/AM$1</f>
        <v>0.00199391171993912</v>
      </c>
      <c r="AN159" s="0" t="n">
        <f aca="false">$B159/AN$1</f>
        <v>0.00194074074074074</v>
      </c>
      <c r="AO159" s="0" t="n">
        <f aca="false">$B159/AO$1</f>
        <v>0.00189033189033189</v>
      </c>
      <c r="AP159" s="0" t="n">
        <f aca="false">$B159/AP$1</f>
        <v>0.00184247538677918</v>
      </c>
      <c r="AQ159" s="0" t="n">
        <f aca="false">$B159/AQ$1</f>
        <v>0.00179698216735254</v>
      </c>
      <c r="AR159" s="0" t="n">
        <f aca="false">$B159/AR$1</f>
        <v>0.00175368139223561</v>
      </c>
      <c r="AS159" s="0" t="n">
        <f aca="false">$B159/AS$1</f>
        <v>0.00171241830065359</v>
      </c>
      <c r="AT159" s="0" t="n">
        <f aca="false">$B159/AT$1</f>
        <v>0.00167305236270754</v>
      </c>
      <c r="AU159" s="0" t="n">
        <f aca="false">$B159/AU$1</f>
        <v>0.0016354556803995</v>
      </c>
      <c r="AV159" s="0" t="n">
        <f aca="false">$B159/AV$1</f>
        <v>0.0015995115995116</v>
      </c>
      <c r="AW159" s="0" t="n">
        <f aca="false">$B159/AW$1</f>
        <v>0.00156511350059737</v>
      </c>
      <c r="AX159" s="0" t="n">
        <f aca="false">$B159/AX$1</f>
        <v>0.00153216374269006</v>
      </c>
      <c r="AY159" s="0" t="n">
        <f aca="false">$B159/AY$1</f>
        <v>0.00150057273768614</v>
      </c>
      <c r="AZ159" s="0" t="n">
        <f aca="false">$B159/AZ$1</f>
        <v>0.0014702581369248</v>
      </c>
      <c r="BA159" s="0" t="n">
        <f aca="false">$B159/BA$1</f>
        <v>0.00144114411441144</v>
      </c>
      <c r="BB159" s="0" t="n">
        <f aca="false">$B159/BB$1</f>
        <v>0.00141316073354908</v>
      </c>
      <c r="BC159" s="0" t="n">
        <f aca="false">$B159/BC$1</f>
        <v>0.00138624338624339</v>
      </c>
      <c r="BD159" s="0" t="n">
        <f aca="false">$B159/BD$1</f>
        <v>0.00136033229491173</v>
      </c>
      <c r="BE159" s="0" t="n">
        <f aca="false">$B159/BE$1</f>
        <v>0.00133537206931702</v>
      </c>
      <c r="BF159" s="0" t="n">
        <f aca="false">$B159/BF$1</f>
        <v>0.00131131131131131</v>
      </c>
      <c r="BG159" s="0" t="n">
        <f aca="false">$B159/BG$1</f>
        <v>0.00128810226155359</v>
      </c>
      <c r="BH159" s="0" t="n">
        <f aca="false">$B159/BH$1</f>
        <v>0.00126570048309179</v>
      </c>
      <c r="BI159" s="0" t="n">
        <f aca="false">$B159/BI$1</f>
        <v>0.00124406457739791</v>
      </c>
      <c r="BJ159" s="0" t="n">
        <f aca="false">$B159/BJ$1</f>
        <v>0.00122315592903828</v>
      </c>
      <c r="BL159" s="0" t="n">
        <f aca="false">IF($B$156=1,COUNTIF(C159:BJ159,"&gt;="&amp;$C$156),0)</f>
        <v>18</v>
      </c>
      <c r="BM159" s="0" t="n">
        <f aca="false">IF($B$156=1,IF(OR(BS159&gt;=Settings!$B$5,Settings!$C$16&gt;0),MAX(BL159,Settings!$C$16),0),0)</f>
        <v>18</v>
      </c>
      <c r="BN159" s="0" t="n">
        <f aca="false">IF($B$156=1,IF(OR(BS159&gt;=Settings!$B$5,Settings!$C$16&gt;0),MAX(0,(2*MAX(BL159,Settings!$C$16)+1)*$C$156-BS159),MAX(0,Settings!$B$5-BS159)),"")</f>
        <v>0.00737777777777779</v>
      </c>
      <c r="BO159" s="0" t="n">
        <f aca="false">IF($B$156=1,IF(OR(BS159&gt;=Settings!$B$5,Settings!$C$16&gt;0),IF(BL159&lt;=Settings!$C$16,"Protected by electorates",IF(Settings!$C$16=0,MIN(BS159-(2*BL159-1)*$D$156,BS159-Settings!$B$5),BS159-(2*BL159-1)*$D$156)),""),"")</f>
        <v>0.0010466988727858</v>
      </c>
      <c r="BP159" s="0" t="n">
        <f aca="false">IF($B$156=1,IF(OR(BS159&gt;=Settings!$B$5,Settings!$C$16&gt;0),MAX(0,MIN(1,(BS159/$C$156-(2*MAX(BL159,Settings!$C$16)-1))/2)),MIN(1,BS159/Settings!$B$5)),"")</f>
        <v>0.107526881720428</v>
      </c>
      <c r="BQ159" s="0" t="n">
        <f aca="false">IF(AND($B$156=1,COUNTIF(C159:BJ159,$C$156)&gt;0),1,0)</f>
        <v>0</v>
      </c>
      <c r="BR159" s="0" t="n">
        <f aca="false">IF(AND($B$156=1,COUNTIF(C159:BJ159,$D$156)&gt;0),1,0)</f>
        <v>0</v>
      </c>
      <c r="BS159" s="0" t="n">
        <f aca="false">N(IF(Polls!J23="",Polls!J37,Polls!J23))</f>
        <v>0.145555555555556</v>
      </c>
      <c r="BT159" s="0" t="str">
        <f aca="false">IF(OR(BS159&gt;=Settings!$B$5,Settings!$C$16&gt;0),"Next seat","Threshold")</f>
        <v>Next seat</v>
      </c>
    </row>
    <row r="160" customFormat="false" ht="15" hidden="false" customHeight="false" outlineLevel="0" collapsed="false">
      <c r="A160" s="0" t="s">
        <v>46</v>
      </c>
      <c r="B160" s="0" t="n">
        <f aca="false">IF(OR(BS160&gt;=Settings!$B$5,Settings!$C$17&gt;0),BS160,0)</f>
        <v>0.0963333333333333</v>
      </c>
      <c r="C160" s="0" t="n">
        <f aca="false">$B160/C$1</f>
        <v>0.0963333333333333</v>
      </c>
      <c r="D160" s="0" t="n">
        <f aca="false">$B160/D$1</f>
        <v>0.0321111111111111</v>
      </c>
      <c r="E160" s="0" t="n">
        <f aca="false">$B160/E$1</f>
        <v>0.0192666666666667</v>
      </c>
      <c r="F160" s="0" t="n">
        <f aca="false">$B160/F$1</f>
        <v>0.0137619047619048</v>
      </c>
      <c r="G160" s="0" t="n">
        <f aca="false">$B160/G$1</f>
        <v>0.0107037037037037</v>
      </c>
      <c r="H160" s="0" t="n">
        <f aca="false">$B160/H$1</f>
        <v>0.00875757575757576</v>
      </c>
      <c r="I160" s="0" t="n">
        <f aca="false">$B160/I$1</f>
        <v>0.00741025641025641</v>
      </c>
      <c r="J160" s="0" t="n">
        <f aca="false">$B160/J$1</f>
        <v>0.00642222222222222</v>
      </c>
      <c r="K160" s="0" t="n">
        <f aca="false">$B160/K$1</f>
        <v>0.00566666666666667</v>
      </c>
      <c r="L160" s="0" t="n">
        <f aca="false">$B160/L$1</f>
        <v>0.00507017543859649</v>
      </c>
      <c r="M160" s="0" t="n">
        <f aca="false">$B160/M$1</f>
        <v>0.00458730158730159</v>
      </c>
      <c r="N160" s="0" t="n">
        <f aca="false">$B160/N$1</f>
        <v>0.00418840579710145</v>
      </c>
      <c r="O160" s="0" t="n">
        <f aca="false">$B160/O$1</f>
        <v>0.00385333333333333</v>
      </c>
      <c r="P160" s="0" t="n">
        <f aca="false">$B160/P$1</f>
        <v>0.0035679012345679</v>
      </c>
      <c r="Q160" s="0" t="n">
        <f aca="false">$B160/Q$1</f>
        <v>0.00332183908045977</v>
      </c>
      <c r="R160" s="0" t="n">
        <f aca="false">$B160/R$1</f>
        <v>0.00310752688172043</v>
      </c>
      <c r="S160" s="0" t="n">
        <f aca="false">$B160/S$1</f>
        <v>0.00291919191919192</v>
      </c>
      <c r="T160" s="0" t="n">
        <f aca="false">$B160/T$1</f>
        <v>0.00275238095238095</v>
      </c>
      <c r="U160" s="0" t="n">
        <f aca="false">$B160/U$1</f>
        <v>0.0026036036036036</v>
      </c>
      <c r="V160" s="0" t="n">
        <f aca="false">$B160/V$1</f>
        <v>0.00247008547008547</v>
      </c>
      <c r="W160" s="0" t="n">
        <f aca="false">$B160/W$1</f>
        <v>0.00234959349593496</v>
      </c>
      <c r="X160" s="0" t="n">
        <f aca="false">$B160/X$1</f>
        <v>0.00224031007751938</v>
      </c>
      <c r="Y160" s="0" t="n">
        <f aca="false">$B160/Y$1</f>
        <v>0.00214074074074074</v>
      </c>
      <c r="Z160" s="0" t="n">
        <f aca="false">$B160/Z$1</f>
        <v>0.00204964539007092</v>
      </c>
      <c r="AA160" s="0" t="n">
        <f aca="false">$B160/AA$1</f>
        <v>0.00196598639455782</v>
      </c>
      <c r="AB160" s="0" t="n">
        <f aca="false">$B160/AB$1</f>
        <v>0.00188888888888889</v>
      </c>
      <c r="AC160" s="0" t="n">
        <f aca="false">$B160/AC$1</f>
        <v>0.00181761006289308</v>
      </c>
      <c r="AD160" s="0" t="n">
        <f aca="false">$B160/AD$1</f>
        <v>0.00175151515151515</v>
      </c>
      <c r="AE160" s="0" t="n">
        <f aca="false">$B160/AE$1</f>
        <v>0.00169005847953216</v>
      </c>
      <c r="AF160" s="0" t="n">
        <f aca="false">$B160/AF$1</f>
        <v>0.00163276836158192</v>
      </c>
      <c r="AG160" s="0" t="n">
        <f aca="false">$B160/AG$1</f>
        <v>0.0015792349726776</v>
      </c>
      <c r="AH160" s="0" t="n">
        <f aca="false">$B160/AH$1</f>
        <v>0.00152910052910053</v>
      </c>
      <c r="AI160" s="0" t="n">
        <f aca="false">$B160/AI$1</f>
        <v>0.00148205128205128</v>
      </c>
      <c r="AJ160" s="0" t="n">
        <f aca="false">$B160/AJ$1</f>
        <v>0.00143781094527363</v>
      </c>
      <c r="AK160" s="0" t="n">
        <f aca="false">$B160/AK$1</f>
        <v>0.00139613526570048</v>
      </c>
      <c r="AL160" s="0" t="n">
        <f aca="false">$B160/AL$1</f>
        <v>0.00135680751173709</v>
      </c>
      <c r="AM160" s="0" t="n">
        <f aca="false">$B160/AM$1</f>
        <v>0.00131963470319635</v>
      </c>
      <c r="AN160" s="0" t="n">
        <f aca="false">$B160/AN$1</f>
        <v>0.00128444444444444</v>
      </c>
      <c r="AO160" s="0" t="n">
        <f aca="false">$B160/AO$1</f>
        <v>0.00125108225108225</v>
      </c>
      <c r="AP160" s="0" t="n">
        <f aca="false">$B160/AP$1</f>
        <v>0.00121940928270042</v>
      </c>
      <c r="AQ160" s="0" t="n">
        <f aca="false">$B160/AQ$1</f>
        <v>0.00118930041152263</v>
      </c>
      <c r="AR160" s="0" t="n">
        <f aca="false">$B160/AR$1</f>
        <v>0.00116064257028112</v>
      </c>
      <c r="AS160" s="0" t="n">
        <f aca="false">$B160/AS$1</f>
        <v>0.00113333333333333</v>
      </c>
      <c r="AT160" s="0" t="n">
        <f aca="false">$B160/AT$1</f>
        <v>0.00110727969348659</v>
      </c>
      <c r="AU160" s="0" t="n">
        <f aca="false">$B160/AU$1</f>
        <v>0.00108239700374532</v>
      </c>
      <c r="AV160" s="0" t="n">
        <f aca="false">$B160/AV$1</f>
        <v>0.00105860805860806</v>
      </c>
      <c r="AW160" s="0" t="n">
        <f aca="false">$B160/AW$1</f>
        <v>0.00103584229390681</v>
      </c>
      <c r="AX160" s="0" t="n">
        <f aca="false">$B160/AX$1</f>
        <v>0.0010140350877193</v>
      </c>
      <c r="AY160" s="0" t="n">
        <f aca="false">$B160/AY$1</f>
        <v>0.000993127147766323</v>
      </c>
      <c r="AZ160" s="0" t="n">
        <f aca="false">$B160/AZ$1</f>
        <v>0.000973063973063973</v>
      </c>
      <c r="BA160" s="0" t="n">
        <f aca="false">$B160/BA$1</f>
        <v>0.000953795379537954</v>
      </c>
      <c r="BB160" s="0" t="n">
        <f aca="false">$B160/BB$1</f>
        <v>0.000935275080906149</v>
      </c>
      <c r="BC160" s="0" t="n">
        <f aca="false">$B160/BC$1</f>
        <v>0.000917460317460317</v>
      </c>
      <c r="BD160" s="0" t="n">
        <f aca="false">$B160/BD$1</f>
        <v>0.000900311526479751</v>
      </c>
      <c r="BE160" s="0" t="n">
        <f aca="false">$B160/BE$1</f>
        <v>0.000883792048929664</v>
      </c>
      <c r="BF160" s="0" t="n">
        <f aca="false">$B160/BF$1</f>
        <v>0.000867867867867868</v>
      </c>
      <c r="BG160" s="0" t="n">
        <f aca="false">$B160/BG$1</f>
        <v>0.000852507374631268</v>
      </c>
      <c r="BH160" s="0" t="n">
        <f aca="false">$B160/BH$1</f>
        <v>0.00083768115942029</v>
      </c>
      <c r="BI160" s="0" t="n">
        <f aca="false">$B160/BI$1</f>
        <v>0.000823361823361823</v>
      </c>
      <c r="BJ160" s="0" t="n">
        <f aca="false">$B160/BJ$1</f>
        <v>0.00080952380952381</v>
      </c>
      <c r="BL160" s="0" t="n">
        <f aca="false">IF($B$156=1,COUNTIF(C160:BJ160,"&gt;="&amp;$C$156),0)</f>
        <v>12</v>
      </c>
      <c r="BM160" s="0" t="n">
        <f aca="false">IF($B$156=1,IF(OR(BS160&gt;=Settings!$B$5,Settings!$C$17&gt;0),MAX(BL160,Settings!$C$17),0),0)</f>
        <v>12</v>
      </c>
      <c r="BN160" s="0" t="n">
        <f aca="false">IF($B$156=1,IF(OR(BS160&gt;=Settings!$B$5,Settings!$C$17&gt;0),MAX(0,(2*MAX(BL160,Settings!$C$17)+1)*$C$156-BS160),MAX(0,Settings!$B$5-BS160)),"")</f>
        <v>0.00700000000000001</v>
      </c>
      <c r="BO160" s="0" t="n">
        <f aca="false">IF($B$156=1,IF(OR(BS160&gt;=Settings!$B$5,Settings!$C$17&gt;0),IF(BL160&lt;=Settings!$C$17,"Protected by electorates",IF(Settings!$C$17=0,MIN(BS160-(2*BL160-1)*$D$156,BS160-Settings!$B$5),BS160-(2*BL160-1)*$D$156)),""),"")</f>
        <v>0.00137037037037036</v>
      </c>
      <c r="BP160" s="0" t="n">
        <f aca="false">IF($B$156=1,IF(OR(BS160&gt;=Settings!$B$5,Settings!$C$17&gt;0),MAX(0,MIN(1,(BS160/$C$156-(2*MAX(BL160,Settings!$C$17)-1))/2)),MIN(1,BS160/Settings!$B$5)),"")</f>
        <v>0.153225806451612</v>
      </c>
      <c r="BQ160" s="0" t="n">
        <f aca="false">IF(AND($B$156=1,COUNTIF(C160:BJ160,$C$156)&gt;0),1,0)</f>
        <v>0</v>
      </c>
      <c r="BR160" s="0" t="n">
        <f aca="false">IF(AND($B$156=1,COUNTIF(C160:BJ160,$D$156)&gt;0),1,0)</f>
        <v>0</v>
      </c>
      <c r="BS160" s="0" t="n">
        <f aca="false">N(IF(Polls!K23="",Polls!K37,Polls!K23))</f>
        <v>0.0963333333333333</v>
      </c>
      <c r="BT160" s="0" t="str">
        <f aca="false">IF(OR(BS160&gt;=Settings!$B$5,Settings!$C$17&gt;0),"Next seat","Threshold")</f>
        <v>Next seat</v>
      </c>
    </row>
    <row r="161" customFormat="false" ht="15" hidden="false" customHeight="false" outlineLevel="0" collapsed="false">
      <c r="A161" s="0" t="s">
        <v>48</v>
      </c>
      <c r="B161" s="0" t="n">
        <f aca="false">IF(OR(BS161&gt;=Settings!$B$5,Settings!$C$18&gt;0),BS161,0)</f>
        <v>0.103333333333333</v>
      </c>
      <c r="C161" s="0" t="n">
        <f aca="false">$B161/C$1</f>
        <v>0.103333333333333</v>
      </c>
      <c r="D161" s="0" t="n">
        <f aca="false">$B161/D$1</f>
        <v>0.0344444444444444</v>
      </c>
      <c r="E161" s="0" t="n">
        <f aca="false">$B161/E$1</f>
        <v>0.0206666666666667</v>
      </c>
      <c r="F161" s="0" t="n">
        <f aca="false">$B161/F$1</f>
        <v>0.0147619047619048</v>
      </c>
      <c r="G161" s="0" t="n">
        <f aca="false">$B161/G$1</f>
        <v>0.0114814814814815</v>
      </c>
      <c r="H161" s="0" t="n">
        <f aca="false">$B161/H$1</f>
        <v>0.00939393939393939</v>
      </c>
      <c r="I161" s="0" t="n">
        <f aca="false">$B161/I$1</f>
        <v>0.00794871794871795</v>
      </c>
      <c r="J161" s="0" t="n">
        <f aca="false">$B161/J$1</f>
        <v>0.00688888888888889</v>
      </c>
      <c r="K161" s="0" t="n">
        <f aca="false">$B161/K$1</f>
        <v>0.00607843137254902</v>
      </c>
      <c r="L161" s="0" t="n">
        <f aca="false">$B161/L$1</f>
        <v>0.00543859649122807</v>
      </c>
      <c r="M161" s="0" t="n">
        <f aca="false">$B161/M$1</f>
        <v>0.00492063492063492</v>
      </c>
      <c r="N161" s="0" t="n">
        <f aca="false">$B161/N$1</f>
        <v>0.00449275362318841</v>
      </c>
      <c r="O161" s="0" t="n">
        <f aca="false">$B161/O$1</f>
        <v>0.00413333333333333</v>
      </c>
      <c r="P161" s="0" t="n">
        <f aca="false">$B161/P$1</f>
        <v>0.00382716049382716</v>
      </c>
      <c r="Q161" s="0" t="n">
        <f aca="false">$B161/Q$1</f>
        <v>0.0035632183908046</v>
      </c>
      <c r="R161" s="0" t="n">
        <f aca="false">$B161/R$1</f>
        <v>0.00333333333333333</v>
      </c>
      <c r="S161" s="0" t="n">
        <f aca="false">$B161/S$1</f>
        <v>0.00313131313131313</v>
      </c>
      <c r="T161" s="0" t="n">
        <f aca="false">$B161/T$1</f>
        <v>0.00295238095238095</v>
      </c>
      <c r="U161" s="0" t="n">
        <f aca="false">$B161/U$1</f>
        <v>0.00279279279279279</v>
      </c>
      <c r="V161" s="0" t="n">
        <f aca="false">$B161/V$1</f>
        <v>0.00264957264957265</v>
      </c>
      <c r="W161" s="0" t="n">
        <f aca="false">$B161/W$1</f>
        <v>0.00252032520325203</v>
      </c>
      <c r="X161" s="0" t="n">
        <f aca="false">$B161/X$1</f>
        <v>0.0024031007751938</v>
      </c>
      <c r="Y161" s="0" t="n">
        <f aca="false">$B161/Y$1</f>
        <v>0.0022962962962963</v>
      </c>
      <c r="Z161" s="0" t="n">
        <f aca="false">$B161/Z$1</f>
        <v>0.00219858156028369</v>
      </c>
      <c r="AA161" s="0" t="n">
        <f aca="false">$B161/AA$1</f>
        <v>0.00210884353741497</v>
      </c>
      <c r="AB161" s="0" t="n">
        <f aca="false">$B161/AB$1</f>
        <v>0.00202614379084967</v>
      </c>
      <c r="AC161" s="0" t="n">
        <f aca="false">$B161/AC$1</f>
        <v>0.0019496855345912</v>
      </c>
      <c r="AD161" s="0" t="n">
        <f aca="false">$B161/AD$1</f>
        <v>0.00187878787878788</v>
      </c>
      <c r="AE161" s="0" t="n">
        <f aca="false">$B161/AE$1</f>
        <v>0.00181286549707602</v>
      </c>
      <c r="AF161" s="0" t="n">
        <f aca="false">$B161/AF$1</f>
        <v>0.00175141242937853</v>
      </c>
      <c r="AG161" s="0" t="n">
        <f aca="false">$B161/AG$1</f>
        <v>0.00169398907103825</v>
      </c>
      <c r="AH161" s="0" t="n">
        <f aca="false">$B161/AH$1</f>
        <v>0.00164021164021164</v>
      </c>
      <c r="AI161" s="0" t="n">
        <f aca="false">$B161/AI$1</f>
        <v>0.00158974358974359</v>
      </c>
      <c r="AJ161" s="0" t="n">
        <f aca="false">$B161/AJ$1</f>
        <v>0.00154228855721393</v>
      </c>
      <c r="AK161" s="0" t="n">
        <f aca="false">$B161/AK$1</f>
        <v>0.0014975845410628</v>
      </c>
      <c r="AL161" s="0" t="n">
        <f aca="false">$B161/AL$1</f>
        <v>0.00145539906103286</v>
      </c>
      <c r="AM161" s="0" t="n">
        <f aca="false">$B161/AM$1</f>
        <v>0.00141552511415525</v>
      </c>
      <c r="AN161" s="0" t="n">
        <f aca="false">$B161/AN$1</f>
        <v>0.00137777777777778</v>
      </c>
      <c r="AO161" s="0" t="n">
        <f aca="false">$B161/AO$1</f>
        <v>0.00134199134199134</v>
      </c>
      <c r="AP161" s="0" t="n">
        <f aca="false">$B161/AP$1</f>
        <v>0.00130801687763713</v>
      </c>
      <c r="AQ161" s="0" t="n">
        <f aca="false">$B161/AQ$1</f>
        <v>0.00127572016460905</v>
      </c>
      <c r="AR161" s="0" t="n">
        <f aca="false">$B161/AR$1</f>
        <v>0.00124497991967872</v>
      </c>
      <c r="AS161" s="0" t="n">
        <f aca="false">$B161/AS$1</f>
        <v>0.0012156862745098</v>
      </c>
      <c r="AT161" s="0" t="n">
        <f aca="false">$B161/AT$1</f>
        <v>0.00118773946360153</v>
      </c>
      <c r="AU161" s="0" t="n">
        <f aca="false">$B161/AU$1</f>
        <v>0.00116104868913858</v>
      </c>
      <c r="AV161" s="0" t="n">
        <f aca="false">$B161/AV$1</f>
        <v>0.00113553113553114</v>
      </c>
      <c r="AW161" s="0" t="n">
        <f aca="false">$B161/AW$1</f>
        <v>0.00111111111111111</v>
      </c>
      <c r="AX161" s="0" t="n">
        <f aca="false">$B161/AX$1</f>
        <v>0.00108771929824561</v>
      </c>
      <c r="AY161" s="0" t="n">
        <f aca="false">$B161/AY$1</f>
        <v>0.00106529209621993</v>
      </c>
      <c r="AZ161" s="0" t="n">
        <f aca="false">$B161/AZ$1</f>
        <v>0.00104377104377104</v>
      </c>
      <c r="BA161" s="0" t="n">
        <f aca="false">$B161/BA$1</f>
        <v>0.00102310231023102</v>
      </c>
      <c r="BB161" s="0" t="n">
        <f aca="false">$B161/BB$1</f>
        <v>0.00100323624595469</v>
      </c>
      <c r="BC161" s="0" t="n">
        <f aca="false">$B161/BC$1</f>
        <v>0.000984126984126984</v>
      </c>
      <c r="BD161" s="0" t="n">
        <f aca="false">$B161/BD$1</f>
        <v>0.000965732087227414</v>
      </c>
      <c r="BE161" s="0" t="n">
        <f aca="false">$B161/BE$1</f>
        <v>0.000948012232415902</v>
      </c>
      <c r="BF161" s="0" t="n">
        <f aca="false">$B161/BF$1</f>
        <v>0.000930930930930931</v>
      </c>
      <c r="BG161" s="0" t="n">
        <f aca="false">$B161/BG$1</f>
        <v>0.000914454277286136</v>
      </c>
      <c r="BH161" s="0" t="n">
        <f aca="false">$B161/BH$1</f>
        <v>0.000898550724637681</v>
      </c>
      <c r="BI161" s="0" t="n">
        <f aca="false">$B161/BI$1</f>
        <v>0.000883190883190883</v>
      </c>
      <c r="BJ161" s="0" t="n">
        <f aca="false">$B161/BJ$1</f>
        <v>0.000868347338935574</v>
      </c>
      <c r="BL161" s="0" t="n">
        <f aca="false">IF($B$156=1,COUNTIF(C161:BJ161,"&gt;="&amp;$C$156),0)</f>
        <v>13</v>
      </c>
      <c r="BM161" s="0" t="n">
        <f aca="false">IF($B$156=1,IF(OR(BS161&gt;=Settings!$B$5,Settings!$C$18&gt;0),MAX(BL161,Settings!$C$18),0),0)</f>
        <v>13</v>
      </c>
      <c r="BN161" s="0" t="n">
        <f aca="false">IF($B$156=1,IF(OR(BS161&gt;=Settings!$B$5,Settings!$C$18&gt;0),MAX(0,(2*MAX(BL161,Settings!$C$18)+1)*$C$156-BS161),MAX(0,Settings!$B$5-BS161)),"")</f>
        <v>0.00826666666666667</v>
      </c>
      <c r="BO161" s="0" t="n">
        <f aca="false">IF($B$156=1,IF(OR(BS161&gt;=Settings!$B$5,Settings!$C$18&gt;0),IF(BL161&lt;=Settings!$C$18,"Protected by electorates",IF(Settings!$C$18=0,MIN(BS161-(2*BL161-1)*$D$156,BS161-Settings!$B$5),BS161-(2*BL161-1)*$D$156)),""),"")</f>
        <v>0.000112721417069223</v>
      </c>
      <c r="BP161" s="0" t="n">
        <f aca="false">IF($B$156=1,IF(OR(BS161&gt;=Settings!$B$5,Settings!$C$18&gt;0),MAX(0,MIN(1,(BS161/$C$156-(2*MAX(BL161,Settings!$C$18)-1))/2)),MIN(1,BS161/Settings!$B$5)),"")</f>
        <v>0</v>
      </c>
      <c r="BQ161" s="0" t="n">
        <f aca="false">IF(AND($B$156=1,COUNTIF(C161:BJ161,$C$156)&gt;0),1,0)</f>
        <v>1</v>
      </c>
      <c r="BR161" s="0" t="n">
        <f aca="false">IF(AND($B$156=1,COUNTIF(C161:BJ161,$D$156)&gt;0),1,0)</f>
        <v>0</v>
      </c>
      <c r="BS161" s="0" t="n">
        <f aca="false">N(IF(Polls!L23="",Polls!L37,Polls!L23))</f>
        <v>0.103333333333333</v>
      </c>
      <c r="BT161" s="0" t="str">
        <f aca="false">IF(OR(BS161&gt;=Settings!$B$5,Settings!$C$18&gt;0),"Next seat","Threshold")</f>
        <v>Next seat</v>
      </c>
    </row>
    <row r="162" customFormat="false" ht="15" hidden="false" customHeight="false" outlineLevel="0" collapsed="false">
      <c r="A162" s="0" t="s">
        <v>50</v>
      </c>
      <c r="B162" s="0" t="n">
        <f aca="false">IF(OR(BS162&gt;=Settings!$B$5,Settings!$C$19&gt;0),BS162,0)</f>
        <v>0.0145</v>
      </c>
      <c r="C162" s="0" t="n">
        <f aca="false">$B162/C$1</f>
        <v>0.0145</v>
      </c>
      <c r="D162" s="0" t="n">
        <f aca="false">$B162/D$1</f>
        <v>0.00483333333333333</v>
      </c>
      <c r="E162" s="0" t="n">
        <f aca="false">$B162/E$1</f>
        <v>0.0029</v>
      </c>
      <c r="F162" s="0" t="n">
        <f aca="false">$B162/F$1</f>
        <v>0.00207142857142857</v>
      </c>
      <c r="G162" s="0" t="n">
        <f aca="false">$B162/G$1</f>
        <v>0.00161111111111111</v>
      </c>
      <c r="H162" s="0" t="n">
        <f aca="false">$B162/H$1</f>
        <v>0.00131818181818182</v>
      </c>
      <c r="I162" s="0" t="n">
        <f aca="false">$B162/I$1</f>
        <v>0.00111538461538462</v>
      </c>
      <c r="J162" s="0" t="n">
        <f aca="false">$B162/J$1</f>
        <v>0.000966666666666667</v>
      </c>
      <c r="K162" s="0" t="n">
        <f aca="false">$B162/K$1</f>
        <v>0.000852941176470588</v>
      </c>
      <c r="L162" s="0" t="n">
        <f aca="false">$B162/L$1</f>
        <v>0.000763157894736842</v>
      </c>
      <c r="M162" s="0" t="n">
        <f aca="false">$B162/M$1</f>
        <v>0.000690476190476191</v>
      </c>
      <c r="N162" s="0" t="n">
        <f aca="false">$B162/N$1</f>
        <v>0.000630434782608696</v>
      </c>
      <c r="O162" s="0" t="n">
        <f aca="false">$B162/O$1</f>
        <v>0.00058</v>
      </c>
      <c r="P162" s="0" t="n">
        <f aca="false">$B162/P$1</f>
        <v>0.000537037037037037</v>
      </c>
      <c r="Q162" s="0" t="n">
        <f aca="false">$B162/Q$1</f>
        <v>0.0005</v>
      </c>
      <c r="R162" s="0" t="n">
        <f aca="false">$B162/R$1</f>
        <v>0.000467741935483871</v>
      </c>
      <c r="S162" s="0" t="n">
        <f aca="false">$B162/S$1</f>
        <v>0.000439393939393939</v>
      </c>
      <c r="T162" s="0" t="n">
        <f aca="false">$B162/T$1</f>
        <v>0.000414285714285714</v>
      </c>
      <c r="U162" s="0" t="n">
        <f aca="false">$B162/U$1</f>
        <v>0.000391891891891892</v>
      </c>
      <c r="V162" s="0" t="n">
        <f aca="false">$B162/V$1</f>
        <v>0.000371794871794872</v>
      </c>
      <c r="W162" s="0" t="n">
        <f aca="false">$B162/W$1</f>
        <v>0.000353658536585366</v>
      </c>
      <c r="X162" s="0" t="n">
        <f aca="false">$B162/X$1</f>
        <v>0.000337209302325581</v>
      </c>
      <c r="Y162" s="0" t="n">
        <f aca="false">$B162/Y$1</f>
        <v>0.000322222222222222</v>
      </c>
      <c r="Z162" s="0" t="n">
        <f aca="false">$B162/Z$1</f>
        <v>0.000308510638297872</v>
      </c>
      <c r="AA162" s="0" t="n">
        <f aca="false">$B162/AA$1</f>
        <v>0.000295918367346939</v>
      </c>
      <c r="AB162" s="0" t="n">
        <f aca="false">$B162/AB$1</f>
        <v>0.000284313725490196</v>
      </c>
      <c r="AC162" s="0" t="n">
        <f aca="false">$B162/AC$1</f>
        <v>0.000273584905660377</v>
      </c>
      <c r="AD162" s="0" t="n">
        <f aca="false">$B162/AD$1</f>
        <v>0.000263636363636364</v>
      </c>
      <c r="AE162" s="0" t="n">
        <f aca="false">$B162/AE$1</f>
        <v>0.000254385964912281</v>
      </c>
      <c r="AF162" s="0" t="n">
        <f aca="false">$B162/AF$1</f>
        <v>0.000245762711864407</v>
      </c>
      <c r="AG162" s="0" t="n">
        <f aca="false">$B162/AG$1</f>
        <v>0.000237704918032787</v>
      </c>
      <c r="AH162" s="0" t="n">
        <f aca="false">$B162/AH$1</f>
        <v>0.00023015873015873</v>
      </c>
      <c r="AI162" s="0" t="n">
        <f aca="false">$B162/AI$1</f>
        <v>0.000223076923076923</v>
      </c>
      <c r="AJ162" s="0" t="n">
        <f aca="false">$B162/AJ$1</f>
        <v>0.000216417910447761</v>
      </c>
      <c r="AK162" s="0" t="n">
        <f aca="false">$B162/AK$1</f>
        <v>0.000210144927536232</v>
      </c>
      <c r="AL162" s="0" t="n">
        <f aca="false">$B162/AL$1</f>
        <v>0.000204225352112676</v>
      </c>
      <c r="AM162" s="0" t="n">
        <f aca="false">$B162/AM$1</f>
        <v>0.000198630136986301</v>
      </c>
      <c r="AN162" s="0" t="n">
        <f aca="false">$B162/AN$1</f>
        <v>0.000193333333333333</v>
      </c>
      <c r="AO162" s="0" t="n">
        <f aca="false">$B162/AO$1</f>
        <v>0.000188311688311688</v>
      </c>
      <c r="AP162" s="0" t="n">
        <f aca="false">$B162/AP$1</f>
        <v>0.000183544303797468</v>
      </c>
      <c r="AQ162" s="0" t="n">
        <f aca="false">$B162/AQ$1</f>
        <v>0.000179012345679012</v>
      </c>
      <c r="AR162" s="0" t="n">
        <f aca="false">$B162/AR$1</f>
        <v>0.000174698795180723</v>
      </c>
      <c r="AS162" s="0" t="n">
        <f aca="false">$B162/AS$1</f>
        <v>0.000170588235294118</v>
      </c>
      <c r="AT162" s="0" t="n">
        <f aca="false">$B162/AT$1</f>
        <v>0.000166666666666667</v>
      </c>
      <c r="AU162" s="0" t="n">
        <f aca="false">$B162/AU$1</f>
        <v>0.000162921348314607</v>
      </c>
      <c r="AV162" s="0" t="n">
        <f aca="false">$B162/AV$1</f>
        <v>0.000159340659340659</v>
      </c>
      <c r="AW162" s="0" t="n">
        <f aca="false">$B162/AW$1</f>
        <v>0.000155913978494624</v>
      </c>
      <c r="AX162" s="0" t="n">
        <f aca="false">$B162/AX$1</f>
        <v>0.000152631578947368</v>
      </c>
      <c r="AY162" s="0" t="n">
        <f aca="false">$B162/AY$1</f>
        <v>0.000149484536082474</v>
      </c>
      <c r="AZ162" s="0" t="n">
        <f aca="false">$B162/AZ$1</f>
        <v>0.000146464646464646</v>
      </c>
      <c r="BA162" s="0" t="n">
        <f aca="false">$B162/BA$1</f>
        <v>0.000143564356435644</v>
      </c>
      <c r="BB162" s="0" t="n">
        <f aca="false">$B162/BB$1</f>
        <v>0.000140776699029126</v>
      </c>
      <c r="BC162" s="0" t="n">
        <f aca="false">$B162/BC$1</f>
        <v>0.000138095238095238</v>
      </c>
      <c r="BD162" s="0" t="n">
        <f aca="false">$B162/BD$1</f>
        <v>0.000135514018691589</v>
      </c>
      <c r="BE162" s="0" t="n">
        <f aca="false">$B162/BE$1</f>
        <v>0.00013302752293578</v>
      </c>
      <c r="BF162" s="0" t="n">
        <f aca="false">$B162/BF$1</f>
        <v>0.000130630630630631</v>
      </c>
      <c r="BG162" s="0" t="n">
        <f aca="false">$B162/BG$1</f>
        <v>0.000128318584070796</v>
      </c>
      <c r="BH162" s="0" t="n">
        <f aca="false">$B162/BH$1</f>
        <v>0.000126086956521739</v>
      </c>
      <c r="BI162" s="0" t="n">
        <f aca="false">$B162/BI$1</f>
        <v>0.000123931623931624</v>
      </c>
      <c r="BJ162" s="0" t="n">
        <f aca="false">$B162/BJ$1</f>
        <v>0.000121848739495798</v>
      </c>
      <c r="BL162" s="0" t="n">
        <f aca="false">IF($B$156=1,COUNTIF(C162:BJ162,"&gt;="&amp;$C$156),0)</f>
        <v>2</v>
      </c>
      <c r="BM162" s="0" t="n">
        <f aca="false">IF($B$156=1,IF(OR(BS162&gt;=Settings!$B$5,Settings!$C$19&gt;0),MAX(BL162,Settings!$C$19),0),0)</f>
        <v>4</v>
      </c>
      <c r="BN162" s="0" t="n">
        <f aca="false">IF($B$156=1,IF(OR(BS162&gt;=Settings!$B$5,Settings!$C$19&gt;0),MAX(0,(2*MAX(BL162,Settings!$C$19)+1)*$C$156-BS162),MAX(0,Settings!$B$5-BS162)),"")</f>
        <v>0.0227</v>
      </c>
      <c r="BO162" s="0" t="str">
        <f aca="false">IF($B$156=1,IF(OR(BS162&gt;=Settings!$B$5,Settings!$C$19&gt;0),IF(BL162&lt;=Settings!$C$19,"Protected by electorates",IF(Settings!$C$19=0,MIN(BS162-(2*BL162-1)*$D$156,BS162-Settings!$B$5),BS162-(2*BL162-1)*$D$156)),""),"")</f>
        <v>Protected by electorates</v>
      </c>
      <c r="BP162" s="0" t="n">
        <f aca="false">IF($B$156=1,IF(OR(BS162&gt;=Settings!$B$5,Settings!$C$19&gt;0),MAX(0,MIN(1,(BS162/$C$156-(2*MAX(BL162,Settings!$C$19)-1))/2)),MIN(1,BS162/Settings!$B$5)),"")</f>
        <v>0</v>
      </c>
      <c r="BQ162" s="0" t="n">
        <f aca="false">IF(AND($B$156=1,COUNTIF(C162:BJ162,$C$156)&gt;0),1,0)</f>
        <v>0</v>
      </c>
      <c r="BR162" s="0" t="n">
        <f aca="false">IF(AND($B$156=1,COUNTIF(C162:BJ162,$D$156)&gt;0),1,0)</f>
        <v>0</v>
      </c>
      <c r="BS162" s="0" t="n">
        <f aca="false">N(IF(Polls!M23="",Polls!M37,Polls!M23))</f>
        <v>0.0145</v>
      </c>
      <c r="BT162" s="0" t="str">
        <f aca="false">IF(OR(BS162&gt;=Settings!$B$5,Settings!$C$19&gt;0),"Next seat","Threshold")</f>
        <v>Next seat</v>
      </c>
    </row>
    <row r="163" customFormat="false" ht="15" hidden="false" customHeight="false" outlineLevel="0" collapsed="false">
      <c r="A163" s="0" t="s">
        <v>52</v>
      </c>
      <c r="B163" s="0" t="n">
        <f aca="false">IF(OR(BS163&gt;=Settings!$B$5,Settings!$C$20&gt;0),BS163,0)</f>
        <v>0.0614444444444445</v>
      </c>
      <c r="C163" s="0" t="n">
        <f aca="false">$B163/C$1</f>
        <v>0.0614444444444445</v>
      </c>
      <c r="D163" s="0" t="n">
        <f aca="false">$B163/D$1</f>
        <v>0.0204814814814815</v>
      </c>
      <c r="E163" s="0" t="n">
        <f aca="false">$B163/E$1</f>
        <v>0.0122888888888889</v>
      </c>
      <c r="F163" s="0" t="n">
        <f aca="false">$B163/F$1</f>
        <v>0.00877777777777778</v>
      </c>
      <c r="G163" s="0" t="n">
        <f aca="false">$B163/G$1</f>
        <v>0.00682716049382716</v>
      </c>
      <c r="H163" s="0" t="n">
        <f aca="false">$B163/H$1</f>
        <v>0.00558585858585859</v>
      </c>
      <c r="I163" s="0" t="n">
        <f aca="false">$B163/I$1</f>
        <v>0.00472649572649573</v>
      </c>
      <c r="J163" s="0" t="n">
        <f aca="false">$B163/J$1</f>
        <v>0.0040962962962963</v>
      </c>
      <c r="K163" s="0" t="n">
        <f aca="false">$B163/K$1</f>
        <v>0.00361437908496732</v>
      </c>
      <c r="L163" s="0" t="n">
        <f aca="false">$B163/L$1</f>
        <v>0.00323391812865497</v>
      </c>
      <c r="M163" s="0" t="n">
        <f aca="false">$B163/M$1</f>
        <v>0.00292592592592593</v>
      </c>
      <c r="N163" s="0" t="n">
        <f aca="false">$B163/N$1</f>
        <v>0.00267149758454106</v>
      </c>
      <c r="O163" s="0" t="n">
        <f aca="false">$B163/O$1</f>
        <v>0.00245777777777778</v>
      </c>
      <c r="P163" s="0" t="n">
        <f aca="false">$B163/P$1</f>
        <v>0.00227572016460905</v>
      </c>
      <c r="Q163" s="0" t="n">
        <f aca="false">$B163/Q$1</f>
        <v>0.00211877394636015</v>
      </c>
      <c r="R163" s="0" t="n">
        <f aca="false">$B163/R$1</f>
        <v>0.0019820788530466</v>
      </c>
      <c r="S163" s="0" t="n">
        <f aca="false">$B163/S$1</f>
        <v>0.00186195286195286</v>
      </c>
      <c r="T163" s="0" t="n">
        <f aca="false">$B163/T$1</f>
        <v>0.00175555555555556</v>
      </c>
      <c r="U163" s="0" t="n">
        <f aca="false">$B163/U$1</f>
        <v>0.00166066066066066</v>
      </c>
      <c r="V163" s="0" t="n">
        <f aca="false">$B163/V$1</f>
        <v>0.00157549857549858</v>
      </c>
      <c r="W163" s="0" t="n">
        <f aca="false">$B163/W$1</f>
        <v>0.00149864498644986</v>
      </c>
      <c r="X163" s="0" t="n">
        <f aca="false">$B163/X$1</f>
        <v>0.00142894056847545</v>
      </c>
      <c r="Y163" s="0" t="n">
        <f aca="false">$B163/Y$1</f>
        <v>0.00136543209876543</v>
      </c>
      <c r="Z163" s="0" t="n">
        <f aca="false">$B163/Z$1</f>
        <v>0.00130732860520095</v>
      </c>
      <c r="AA163" s="0" t="n">
        <f aca="false">$B163/AA$1</f>
        <v>0.00125396825396825</v>
      </c>
      <c r="AB163" s="0" t="n">
        <f aca="false">$B163/AB$1</f>
        <v>0.00120479302832244</v>
      </c>
      <c r="AC163" s="0" t="n">
        <f aca="false">$B163/AC$1</f>
        <v>0.00115932914046122</v>
      </c>
      <c r="AD163" s="0" t="n">
        <f aca="false">$B163/AD$1</f>
        <v>0.00111717171717172</v>
      </c>
      <c r="AE163" s="0" t="n">
        <f aca="false">$B163/AE$1</f>
        <v>0.00107797270955166</v>
      </c>
      <c r="AF163" s="0" t="n">
        <f aca="false">$B163/AF$1</f>
        <v>0.00104143126177024</v>
      </c>
      <c r="AG163" s="0" t="n">
        <f aca="false">$B163/AG$1</f>
        <v>0.00100728597449909</v>
      </c>
      <c r="AH163" s="0" t="n">
        <f aca="false">$B163/AH$1</f>
        <v>0.000975308641975309</v>
      </c>
      <c r="AI163" s="0" t="n">
        <f aca="false">$B163/AI$1</f>
        <v>0.000945299145299145</v>
      </c>
      <c r="AJ163" s="0" t="n">
        <f aca="false">$B163/AJ$1</f>
        <v>0.000917081260364843</v>
      </c>
      <c r="AK163" s="0" t="n">
        <f aca="false">$B163/AK$1</f>
        <v>0.000890499194847021</v>
      </c>
      <c r="AL163" s="0" t="n">
        <f aca="false">$B163/AL$1</f>
        <v>0.000865414710485133</v>
      </c>
      <c r="AM163" s="0" t="n">
        <f aca="false">$B163/AM$1</f>
        <v>0.000841704718417047</v>
      </c>
      <c r="AN163" s="0" t="n">
        <f aca="false">$B163/AN$1</f>
        <v>0.000819259259259259</v>
      </c>
      <c r="AO163" s="0" t="n">
        <f aca="false">$B163/AO$1</f>
        <v>0.000797979797979798</v>
      </c>
      <c r="AP163" s="0" t="n">
        <f aca="false">$B163/AP$1</f>
        <v>0.000777777777777778</v>
      </c>
      <c r="AQ163" s="0" t="n">
        <f aca="false">$B163/AQ$1</f>
        <v>0.000758573388203018</v>
      </c>
      <c r="AR163" s="0" t="n">
        <f aca="false">$B163/AR$1</f>
        <v>0.000740294511378849</v>
      </c>
      <c r="AS163" s="0" t="n">
        <f aca="false">$B163/AS$1</f>
        <v>0.000722875816993464</v>
      </c>
      <c r="AT163" s="0" t="n">
        <f aca="false">$B163/AT$1</f>
        <v>0.000706257982120051</v>
      </c>
      <c r="AU163" s="0" t="n">
        <f aca="false">$B163/AU$1</f>
        <v>0.000690387016229713</v>
      </c>
      <c r="AV163" s="0" t="n">
        <f aca="false">$B163/AV$1</f>
        <v>0.000675213675213675</v>
      </c>
      <c r="AW163" s="0" t="n">
        <f aca="false">$B163/AW$1</f>
        <v>0.000660692951015532</v>
      </c>
      <c r="AX163" s="0" t="n">
        <f aca="false">$B163/AX$1</f>
        <v>0.000646783625730994</v>
      </c>
      <c r="AY163" s="0" t="n">
        <f aca="false">$B163/AY$1</f>
        <v>0.000633447880870561</v>
      </c>
      <c r="AZ163" s="0" t="n">
        <f aca="false">$B163/AZ$1</f>
        <v>0.000620650953984287</v>
      </c>
      <c r="BA163" s="0" t="n">
        <f aca="false">$B163/BA$1</f>
        <v>0.000608360836083608</v>
      </c>
      <c r="BB163" s="0" t="n">
        <f aca="false">$B163/BB$1</f>
        <v>0.000596548004314995</v>
      </c>
      <c r="BC163" s="0" t="n">
        <f aca="false">$B163/BC$1</f>
        <v>0.000585185185185185</v>
      </c>
      <c r="BD163" s="0" t="n">
        <f aca="false">$B163/BD$1</f>
        <v>0.000574247144340602</v>
      </c>
      <c r="BE163" s="0" t="n">
        <f aca="false">$B163/BE$1</f>
        <v>0.000563710499490316</v>
      </c>
      <c r="BF163" s="0" t="n">
        <f aca="false">$B163/BF$1</f>
        <v>0.000553553553553554</v>
      </c>
      <c r="BG163" s="0" t="n">
        <f aca="false">$B163/BG$1</f>
        <v>0.000543756145526057</v>
      </c>
      <c r="BH163" s="0" t="n">
        <f aca="false">$B163/BH$1</f>
        <v>0.000534299516908213</v>
      </c>
      <c r="BI163" s="0" t="n">
        <f aca="false">$B163/BI$1</f>
        <v>0.000525166191832859</v>
      </c>
      <c r="BJ163" s="0" t="n">
        <f aca="false">$B163/BJ$1</f>
        <v>0.000516339869281046</v>
      </c>
      <c r="BL163" s="0" t="n">
        <f aca="false">IF($B$156=1,COUNTIF(C163:BJ163,"&gt;="&amp;$C$156),0)</f>
        <v>7</v>
      </c>
      <c r="BM163" s="0" t="n">
        <f aca="false">IF($B$156=1,IF(OR(BS163&gt;=Settings!$B$5,Settings!$C$20&gt;0),MAX(BL163,Settings!$C$20),0),0)</f>
        <v>7</v>
      </c>
      <c r="BN163" s="0" t="n">
        <f aca="false">IF($B$156=1,IF(OR(BS163&gt;=Settings!$B$5,Settings!$C$20&gt;0),MAX(0,(2*MAX(BL163,Settings!$C$20)+1)*$C$156-BS163),MAX(0,Settings!$B$5-BS163)),"")</f>
        <v>0.000555555555555552</v>
      </c>
      <c r="BO163" s="0" t="n">
        <f aca="false">IF($B$156=1,IF(OR(BS163&gt;=Settings!$B$5,Settings!$C$20&gt;0),IF(BL163&lt;=Settings!$C$20,"Protected by electorates",IF(Settings!$C$20=0,MIN(BS163-(2*BL163-1)*$D$156,BS163-Settings!$B$5),BS163-(2*BL163-1)*$D$156)),""),"")</f>
        <v>0.00776972624798712</v>
      </c>
      <c r="BP163" s="0" t="n">
        <f aca="false">IF($B$156=1,IF(OR(BS163&gt;=Settings!$B$5,Settings!$C$20&gt;0),MAX(0,MIN(1,(BS163/$C$156-(2*MAX(BL163,Settings!$C$20)-1))/2)),MIN(1,BS163/Settings!$B$5)),"")</f>
        <v>0.932795698924731</v>
      </c>
      <c r="BQ163" s="0" t="n">
        <f aca="false">IF(AND($B$156=1,COUNTIF(C163:BJ163,$C$156)&gt;0),1,0)</f>
        <v>0</v>
      </c>
      <c r="BR163" s="0" t="n">
        <f aca="false">IF(AND($B$156=1,COUNTIF(C163:BJ163,$D$156)&gt;0),1,0)</f>
        <v>0</v>
      </c>
      <c r="BS163" s="0" t="n">
        <f aca="false">N(IF(Polls!N23="",Polls!N37,Polls!N23))</f>
        <v>0.0614444444444445</v>
      </c>
      <c r="BT163" s="0" t="str">
        <f aca="false">IF(OR(BS163&gt;=Settings!$B$5,Settings!$C$20&gt;0),"Next seat","Threshold")</f>
        <v>Next seat</v>
      </c>
    </row>
    <row r="165" customFormat="false" ht="15" hidden="false" customHeight="false" outlineLevel="0" collapsed="false">
      <c r="A165" s="41" t="n">
        <f aca="false">Polls!A24</f>
        <v>0</v>
      </c>
      <c r="B165" s="17" t="n">
        <f aca="false">IF(SUM(BS166:BS172)&gt;0,1,0)</f>
        <v>1</v>
      </c>
      <c r="C165" s="17" t="n">
        <f aca="false">IF(B165=1,LARGE(C166:BJ172,Settings!$B$4),0)</f>
        <v>0.00413333333333333</v>
      </c>
      <c r="D165" s="17" t="n">
        <f aca="false">IF(B165=1,LARGE(C166:BJ172,Settings!$B$4+1),0)</f>
        <v>0.00412882447665056</v>
      </c>
      <c r="E165" s="0" t="str">
        <f aca="false">IF(B165=1,IFERROR(INDEX(A166:A172,MATCH(1,BQ166:BQ172,0)),""),"")</f>
        <v>NZF</v>
      </c>
      <c r="F165" s="0" t="str">
        <f aca="false">IF(B165=1,IFERROR(INDEX(A166:A172,MATCH(1,BR166:BR172,0)),""),"")</f>
        <v>NAT</v>
      </c>
      <c r="G165" s="17" t="n">
        <f aca="false">IF(B165=1,SUM(BM166:BM172)+Settings!$B$10,"")</f>
        <v>122</v>
      </c>
    </row>
    <row r="166" customFormat="false" ht="15" hidden="false" customHeight="false" outlineLevel="0" collapsed="false">
      <c r="A166" s="0" t="s">
        <v>41</v>
      </c>
      <c r="B166" s="0" t="n">
        <f aca="false">IF(OR(BS166&gt;=Settings!$B$5,Settings!$C$14&gt;0),BS166,0)</f>
        <v>0.284888888888889</v>
      </c>
      <c r="C166" s="0" t="n">
        <f aca="false">$B166/C$1</f>
        <v>0.284888888888889</v>
      </c>
      <c r="D166" s="0" t="n">
        <f aca="false">$B166/D$1</f>
        <v>0.094962962962963</v>
      </c>
      <c r="E166" s="0" t="n">
        <f aca="false">$B166/E$1</f>
        <v>0.0569777777777778</v>
      </c>
      <c r="F166" s="0" t="n">
        <f aca="false">$B166/F$1</f>
        <v>0.0406984126984127</v>
      </c>
      <c r="G166" s="0" t="n">
        <f aca="false">$B166/G$1</f>
        <v>0.0316543209876543</v>
      </c>
      <c r="H166" s="0" t="n">
        <f aca="false">$B166/H$1</f>
        <v>0.0258989898989899</v>
      </c>
      <c r="I166" s="0" t="n">
        <f aca="false">$B166/I$1</f>
        <v>0.0219145299145299</v>
      </c>
      <c r="J166" s="0" t="n">
        <f aca="false">$B166/J$1</f>
        <v>0.0189925925925926</v>
      </c>
      <c r="K166" s="0" t="n">
        <f aca="false">$B166/K$1</f>
        <v>0.0167581699346405</v>
      </c>
      <c r="L166" s="0" t="n">
        <f aca="false">$B166/L$1</f>
        <v>0.0149941520467836</v>
      </c>
      <c r="M166" s="0" t="n">
        <f aca="false">$B166/M$1</f>
        <v>0.0135661375661376</v>
      </c>
      <c r="N166" s="0" t="n">
        <f aca="false">$B166/N$1</f>
        <v>0.0123864734299517</v>
      </c>
      <c r="O166" s="0" t="n">
        <f aca="false">$B166/O$1</f>
        <v>0.0113955555555556</v>
      </c>
      <c r="P166" s="0" t="n">
        <f aca="false">$B166/P$1</f>
        <v>0.0105514403292181</v>
      </c>
      <c r="Q166" s="0" t="n">
        <f aca="false">$B166/Q$1</f>
        <v>0.00982375478927203</v>
      </c>
      <c r="R166" s="0" t="n">
        <f aca="false">$B166/R$1</f>
        <v>0.0091899641577061</v>
      </c>
      <c r="S166" s="0" t="n">
        <f aca="false">$B166/S$1</f>
        <v>0.00863299663299663</v>
      </c>
      <c r="T166" s="0" t="n">
        <f aca="false">$B166/T$1</f>
        <v>0.00813968253968254</v>
      </c>
      <c r="U166" s="0" t="n">
        <f aca="false">$B166/U$1</f>
        <v>0.0076996996996997</v>
      </c>
      <c r="V166" s="0" t="n">
        <f aca="false">$B166/V$1</f>
        <v>0.00730484330484331</v>
      </c>
      <c r="W166" s="0" t="n">
        <f aca="false">$B166/W$1</f>
        <v>0.00694850948509485</v>
      </c>
      <c r="X166" s="0" t="n">
        <f aca="false">$B166/X$1</f>
        <v>0.00662532299741602</v>
      </c>
      <c r="Y166" s="0" t="n">
        <f aca="false">$B166/Y$1</f>
        <v>0.00633086419753086</v>
      </c>
      <c r="Z166" s="0" t="n">
        <f aca="false">$B166/Z$1</f>
        <v>0.00606146572104019</v>
      </c>
      <c r="AA166" s="0" t="n">
        <f aca="false">$B166/AA$1</f>
        <v>0.0058140589569161</v>
      </c>
      <c r="AB166" s="0" t="n">
        <f aca="false">$B166/AB$1</f>
        <v>0.00558605664488018</v>
      </c>
      <c r="AC166" s="0" t="n">
        <f aca="false">$B166/AC$1</f>
        <v>0.00537526205450734</v>
      </c>
      <c r="AD166" s="0" t="n">
        <f aca="false">$B166/AD$1</f>
        <v>0.00517979797979798</v>
      </c>
      <c r="AE166" s="0" t="n">
        <f aca="false">$B166/AE$1</f>
        <v>0.00499805068226121</v>
      </c>
      <c r="AF166" s="0" t="n">
        <f aca="false">$B166/AF$1</f>
        <v>0.0048286252354049</v>
      </c>
      <c r="AG166" s="0" t="n">
        <f aca="false">$B166/AG$1</f>
        <v>0.00467030965391621</v>
      </c>
      <c r="AH166" s="0" t="n">
        <f aca="false">$B166/AH$1</f>
        <v>0.00452204585537919</v>
      </c>
      <c r="AI166" s="0" t="n">
        <f aca="false">$B166/AI$1</f>
        <v>0.00438290598290598</v>
      </c>
      <c r="AJ166" s="0" t="n">
        <f aca="false">$B166/AJ$1</f>
        <v>0.00425207296849088</v>
      </c>
      <c r="AK166" s="0" t="n">
        <f aca="false">$B166/AK$1</f>
        <v>0.00412882447665056</v>
      </c>
      <c r="AL166" s="0" t="n">
        <f aca="false">$B166/AL$1</f>
        <v>0.00401251956181534</v>
      </c>
      <c r="AM166" s="0" t="n">
        <f aca="false">$B166/AM$1</f>
        <v>0.00390258751902588</v>
      </c>
      <c r="AN166" s="0" t="n">
        <f aca="false">$B166/AN$1</f>
        <v>0.00379851851851852</v>
      </c>
      <c r="AO166" s="0" t="n">
        <f aca="false">$B166/AO$1</f>
        <v>0.0036998556998557</v>
      </c>
      <c r="AP166" s="0" t="n">
        <f aca="false">$B166/AP$1</f>
        <v>0.00360618846694796</v>
      </c>
      <c r="AQ166" s="0" t="n">
        <f aca="false">$B166/AQ$1</f>
        <v>0.00351714677640604</v>
      </c>
      <c r="AR166" s="0" t="n">
        <f aca="false">$B166/AR$1</f>
        <v>0.00343239625167336</v>
      </c>
      <c r="AS166" s="0" t="n">
        <f aca="false">$B166/AS$1</f>
        <v>0.00335163398692811</v>
      </c>
      <c r="AT166" s="0" t="n">
        <f aca="false">$B166/AT$1</f>
        <v>0.00327458492975734</v>
      </c>
      <c r="AU166" s="0" t="n">
        <f aca="false">$B166/AU$1</f>
        <v>0.00320099875156055</v>
      </c>
      <c r="AV166" s="0" t="n">
        <f aca="false">$B166/AV$1</f>
        <v>0.00313064713064713</v>
      </c>
      <c r="AW166" s="0" t="n">
        <f aca="false">$B166/AW$1</f>
        <v>0.00306332138590203</v>
      </c>
      <c r="AX166" s="0" t="n">
        <f aca="false">$B166/AX$1</f>
        <v>0.00299883040935673</v>
      </c>
      <c r="AY166" s="0" t="n">
        <f aca="false">$B166/AY$1</f>
        <v>0.00293699885452463</v>
      </c>
      <c r="AZ166" s="0" t="n">
        <f aca="false">$B166/AZ$1</f>
        <v>0.00287766554433221</v>
      </c>
      <c r="BA166" s="0" t="n">
        <f aca="false">$B166/BA$1</f>
        <v>0.00282068206820682</v>
      </c>
      <c r="BB166" s="0" t="n">
        <f aca="false">$B166/BB$1</f>
        <v>0.00276591154261057</v>
      </c>
      <c r="BC166" s="0" t="n">
        <f aca="false">$B166/BC$1</f>
        <v>0.00271322751322751</v>
      </c>
      <c r="BD166" s="0" t="n">
        <f aca="false">$B166/BD$1</f>
        <v>0.00266251298026999</v>
      </c>
      <c r="BE166" s="0" t="n">
        <f aca="false">$B166/BE$1</f>
        <v>0.00261365953109072</v>
      </c>
      <c r="BF166" s="0" t="n">
        <f aca="false">$B166/BF$1</f>
        <v>0.00256656656656657</v>
      </c>
      <c r="BG166" s="0" t="n">
        <f aca="false">$B166/BG$1</f>
        <v>0.00252114060963619</v>
      </c>
      <c r="BH166" s="0" t="n">
        <f aca="false">$B166/BH$1</f>
        <v>0.00247729468599034</v>
      </c>
      <c r="BI166" s="0" t="n">
        <f aca="false">$B166/BI$1</f>
        <v>0.0024349477682811</v>
      </c>
      <c r="BJ166" s="0" t="n">
        <f aca="false">$B166/BJ$1</f>
        <v>0.00239402427637722</v>
      </c>
      <c r="BL166" s="0" t="n">
        <f aca="false">IF($B$165=1,COUNTIF(C166:BJ166,"&gt;="&amp;$C$165),0)</f>
        <v>34</v>
      </c>
      <c r="BM166" s="0" t="n">
        <f aca="false">IF($B$165=1,IF(OR(BS166&gt;=Settings!$B$5,Settings!$C$14&gt;0),MAX(BL166,Settings!$C$14),0),0)</f>
        <v>34</v>
      </c>
      <c r="BN166" s="0" t="n">
        <f aca="false">IF($B$165=1,IF(OR(BS166&gt;=Settings!$B$5,Settings!$C$14&gt;0),MAX(0,(2*MAX(BL166,Settings!$C$14)+1)*$C$165-BS166),MAX(0,Settings!$B$5-BS166)),"")</f>
        <v>0.000311111111111095</v>
      </c>
      <c r="BO166" s="0" t="n">
        <f aca="false">IF($B$165=1,IF(OR(BS166&gt;=Settings!$B$5,Settings!$C$14&gt;0),IF(BL166&lt;=Settings!$C$14,"Protected by electorates",IF(Settings!$C$14=0,MIN(BS166-(2*BL166-1)*$D$165,BS166-Settings!$B$5),BS166-(2*BL166-1)*$D$165)),""),"")</f>
        <v>0.00825764895330111</v>
      </c>
      <c r="BP166" s="0" t="n">
        <f aca="false">IF($B$165=1,IF(OR(BS166&gt;=Settings!$B$5,Settings!$C$14&gt;0),MAX(0,MIN(1,(BS166/$C$165-(2*MAX(BL166,Settings!$C$14)-1))/2)),MIN(1,BS166/Settings!$B$5)),"")</f>
        <v>0.962365591397848</v>
      </c>
      <c r="BQ166" s="0" t="n">
        <f aca="false">IF(AND($B$165=1,COUNTIF(C166:BJ166,$C$165)&gt;0),1,0)</f>
        <v>0</v>
      </c>
      <c r="BR166" s="0" t="n">
        <f aca="false">IF(AND($B$165=1,COUNTIF(C166:BJ166,$D$165)&gt;0),1,0)</f>
        <v>1</v>
      </c>
      <c r="BS166" s="0" t="n">
        <f aca="false">N(IF(Polls!H24="",Polls!H37,Polls!H24))</f>
        <v>0.284888888888889</v>
      </c>
      <c r="BT166" s="0" t="str">
        <f aca="false">IF(OR(BS166&gt;=Settings!$B$5,Settings!$C$14&gt;0),"Next seat","Threshold")</f>
        <v>Next seat</v>
      </c>
    </row>
    <row r="167" customFormat="false" ht="15" hidden="false" customHeight="false" outlineLevel="0" collapsed="false">
      <c r="A167" s="0" t="s">
        <v>43</v>
      </c>
      <c r="B167" s="0" t="n">
        <f aca="false">IF(OR(BS167&gt;=Settings!$B$5,Settings!$C$15&gt;0),BS167,0)</f>
        <v>0.279333333333333</v>
      </c>
      <c r="C167" s="0" t="n">
        <f aca="false">$B167/C$1</f>
        <v>0.279333333333333</v>
      </c>
      <c r="D167" s="0" t="n">
        <f aca="false">$B167/D$1</f>
        <v>0.0931111111111111</v>
      </c>
      <c r="E167" s="0" t="n">
        <f aca="false">$B167/E$1</f>
        <v>0.0558666666666667</v>
      </c>
      <c r="F167" s="0" t="n">
        <f aca="false">$B167/F$1</f>
        <v>0.0399047619047619</v>
      </c>
      <c r="G167" s="0" t="n">
        <f aca="false">$B167/G$1</f>
        <v>0.031037037037037</v>
      </c>
      <c r="H167" s="0" t="n">
        <f aca="false">$B167/H$1</f>
        <v>0.0253939393939394</v>
      </c>
      <c r="I167" s="0" t="n">
        <f aca="false">$B167/I$1</f>
        <v>0.0214871794871795</v>
      </c>
      <c r="J167" s="0" t="n">
        <f aca="false">$B167/J$1</f>
        <v>0.0186222222222222</v>
      </c>
      <c r="K167" s="0" t="n">
        <f aca="false">$B167/K$1</f>
        <v>0.0164313725490196</v>
      </c>
      <c r="L167" s="0" t="n">
        <f aca="false">$B167/L$1</f>
        <v>0.0147017543859649</v>
      </c>
      <c r="M167" s="0" t="n">
        <f aca="false">$B167/M$1</f>
        <v>0.0133015873015873</v>
      </c>
      <c r="N167" s="0" t="n">
        <f aca="false">$B167/N$1</f>
        <v>0.0121449275362319</v>
      </c>
      <c r="O167" s="0" t="n">
        <f aca="false">$B167/O$1</f>
        <v>0.0111733333333333</v>
      </c>
      <c r="P167" s="0" t="n">
        <f aca="false">$B167/P$1</f>
        <v>0.0103456790123457</v>
      </c>
      <c r="Q167" s="0" t="n">
        <f aca="false">$B167/Q$1</f>
        <v>0.00963218390804598</v>
      </c>
      <c r="R167" s="0" t="n">
        <f aca="false">$B167/R$1</f>
        <v>0.00901075268817204</v>
      </c>
      <c r="S167" s="0" t="n">
        <f aca="false">$B167/S$1</f>
        <v>0.00846464646464647</v>
      </c>
      <c r="T167" s="0" t="n">
        <f aca="false">$B167/T$1</f>
        <v>0.00798095238095238</v>
      </c>
      <c r="U167" s="0" t="n">
        <f aca="false">$B167/U$1</f>
        <v>0.00754954954954955</v>
      </c>
      <c r="V167" s="0" t="n">
        <f aca="false">$B167/V$1</f>
        <v>0.00716239316239316</v>
      </c>
      <c r="W167" s="0" t="n">
        <f aca="false">$B167/W$1</f>
        <v>0.0068130081300813</v>
      </c>
      <c r="X167" s="0" t="n">
        <f aca="false">$B167/X$1</f>
        <v>0.00649612403100775</v>
      </c>
      <c r="Y167" s="0" t="n">
        <f aca="false">$B167/Y$1</f>
        <v>0.00620740740740741</v>
      </c>
      <c r="Z167" s="0" t="n">
        <f aca="false">$B167/Z$1</f>
        <v>0.00594326241134752</v>
      </c>
      <c r="AA167" s="0" t="n">
        <f aca="false">$B167/AA$1</f>
        <v>0.00570068027210885</v>
      </c>
      <c r="AB167" s="0" t="n">
        <f aca="false">$B167/AB$1</f>
        <v>0.00547712418300654</v>
      </c>
      <c r="AC167" s="0" t="n">
        <f aca="false">$B167/AC$1</f>
        <v>0.00527044025157233</v>
      </c>
      <c r="AD167" s="0" t="n">
        <f aca="false">$B167/AD$1</f>
        <v>0.00507878787878788</v>
      </c>
      <c r="AE167" s="0" t="n">
        <f aca="false">$B167/AE$1</f>
        <v>0.00490058479532164</v>
      </c>
      <c r="AF167" s="0" t="n">
        <f aca="false">$B167/AF$1</f>
        <v>0.00473446327683616</v>
      </c>
      <c r="AG167" s="0" t="n">
        <f aca="false">$B167/AG$1</f>
        <v>0.0045792349726776</v>
      </c>
      <c r="AH167" s="0" t="n">
        <f aca="false">$B167/AH$1</f>
        <v>0.00443386243386244</v>
      </c>
      <c r="AI167" s="0" t="n">
        <f aca="false">$B167/AI$1</f>
        <v>0.0042974358974359</v>
      </c>
      <c r="AJ167" s="0" t="n">
        <f aca="false">$B167/AJ$1</f>
        <v>0.00416915422885572</v>
      </c>
      <c r="AK167" s="0" t="n">
        <f aca="false">$B167/AK$1</f>
        <v>0.00404830917874396</v>
      </c>
      <c r="AL167" s="0" t="n">
        <f aca="false">$B167/AL$1</f>
        <v>0.00393427230046948</v>
      </c>
      <c r="AM167" s="0" t="n">
        <f aca="false">$B167/AM$1</f>
        <v>0.00382648401826484</v>
      </c>
      <c r="AN167" s="0" t="n">
        <f aca="false">$B167/AN$1</f>
        <v>0.00372444444444445</v>
      </c>
      <c r="AO167" s="0" t="n">
        <f aca="false">$B167/AO$1</f>
        <v>0.00362770562770563</v>
      </c>
      <c r="AP167" s="0" t="n">
        <f aca="false">$B167/AP$1</f>
        <v>0.00353586497890295</v>
      </c>
      <c r="AQ167" s="0" t="n">
        <f aca="false">$B167/AQ$1</f>
        <v>0.00344855967078189</v>
      </c>
      <c r="AR167" s="0" t="n">
        <f aca="false">$B167/AR$1</f>
        <v>0.00336546184738956</v>
      </c>
      <c r="AS167" s="0" t="n">
        <f aca="false">$B167/AS$1</f>
        <v>0.00328627450980392</v>
      </c>
      <c r="AT167" s="0" t="n">
        <f aca="false">$B167/AT$1</f>
        <v>0.00321072796934866</v>
      </c>
      <c r="AU167" s="0" t="n">
        <f aca="false">$B167/AU$1</f>
        <v>0.00313857677902622</v>
      </c>
      <c r="AV167" s="0" t="n">
        <f aca="false">$B167/AV$1</f>
        <v>0.00306959706959707</v>
      </c>
      <c r="AW167" s="0" t="n">
        <f aca="false">$B167/AW$1</f>
        <v>0.00300358422939068</v>
      </c>
      <c r="AX167" s="0" t="n">
        <f aca="false">$B167/AX$1</f>
        <v>0.00294035087719298</v>
      </c>
      <c r="AY167" s="0" t="n">
        <f aca="false">$B167/AY$1</f>
        <v>0.00287972508591065</v>
      </c>
      <c r="AZ167" s="0" t="n">
        <f aca="false">$B167/AZ$1</f>
        <v>0.00282154882154882</v>
      </c>
      <c r="BA167" s="0" t="n">
        <f aca="false">$B167/BA$1</f>
        <v>0.00276567656765677</v>
      </c>
      <c r="BB167" s="0" t="n">
        <f aca="false">$B167/BB$1</f>
        <v>0.00271197411003236</v>
      </c>
      <c r="BC167" s="0" t="n">
        <f aca="false">$B167/BC$1</f>
        <v>0.00266031746031746</v>
      </c>
      <c r="BD167" s="0" t="n">
        <f aca="false">$B167/BD$1</f>
        <v>0.00261059190031153</v>
      </c>
      <c r="BE167" s="0" t="n">
        <f aca="false">$B167/BE$1</f>
        <v>0.00256269113149847</v>
      </c>
      <c r="BF167" s="0" t="n">
        <f aca="false">$B167/BF$1</f>
        <v>0.00251651651651652</v>
      </c>
      <c r="BG167" s="0" t="n">
        <f aca="false">$B167/BG$1</f>
        <v>0.00247197640117994</v>
      </c>
      <c r="BH167" s="0" t="n">
        <f aca="false">$B167/BH$1</f>
        <v>0.00242898550724638</v>
      </c>
      <c r="BI167" s="0" t="n">
        <f aca="false">$B167/BI$1</f>
        <v>0.00238746438746439</v>
      </c>
      <c r="BJ167" s="0" t="n">
        <f aca="false">$B167/BJ$1</f>
        <v>0.00234733893557423</v>
      </c>
      <c r="BL167" s="0" t="n">
        <f aca="false">IF($B$165=1,COUNTIF(C167:BJ167,"&gt;="&amp;$C$165),0)</f>
        <v>34</v>
      </c>
      <c r="BM167" s="0" t="n">
        <f aca="false">IF($B$165=1,IF(OR(BS167&gt;=Settings!$B$5,Settings!$C$15&gt;0),MAX(BL167,Settings!$C$15),0),0)</f>
        <v>34</v>
      </c>
      <c r="BN167" s="0" t="n">
        <f aca="false">IF($B$165=1,IF(OR(BS167&gt;=Settings!$B$5,Settings!$C$15&gt;0),MAX(0,(2*MAX(BL167,Settings!$C$15)+1)*$C$165-BS167),MAX(0,Settings!$B$5-BS167)),"")</f>
        <v>0.00586666666666663</v>
      </c>
      <c r="BO167" s="0" t="n">
        <f aca="false">IF($B$165=1,IF(OR(BS167&gt;=Settings!$B$5,Settings!$C$15&gt;0),IF(BL167&lt;=Settings!$C$15,"Protected by electorates",IF(Settings!$C$15=0,MIN(BS167-(2*BL167-1)*$D$165,BS167-Settings!$B$5),BS167-(2*BL167-1)*$D$165)),""),"")</f>
        <v>0.00270209339774558</v>
      </c>
      <c r="BP167" s="0" t="n">
        <f aca="false">IF($B$165=1,IF(OR(BS167&gt;=Settings!$B$5,Settings!$C$15&gt;0),MAX(0,MIN(1,(BS167/$C$165-(2*MAX(BL167,Settings!$C$15)-1))/2)),MIN(1,BS167/Settings!$B$5)),"")</f>
        <v>0.290322580645167</v>
      </c>
      <c r="BQ167" s="0" t="n">
        <f aca="false">IF(AND($B$165=1,COUNTIF(C167:BJ167,$C$165)&gt;0),1,0)</f>
        <v>0</v>
      </c>
      <c r="BR167" s="0" t="n">
        <f aca="false">IF(AND($B$165=1,COUNTIF(C167:BJ167,$D$165)&gt;0),1,0)</f>
        <v>0</v>
      </c>
      <c r="BS167" s="0" t="n">
        <f aca="false">N(IF(Polls!I24="",Polls!I37,Polls!I24))</f>
        <v>0.279333333333333</v>
      </c>
      <c r="BT167" s="0" t="str">
        <f aca="false">IF(OR(BS167&gt;=Settings!$B$5,Settings!$C$15&gt;0),"Next seat","Threshold")</f>
        <v>Next seat</v>
      </c>
    </row>
    <row r="168" customFormat="false" ht="15" hidden="false" customHeight="false" outlineLevel="0" collapsed="false">
      <c r="A168" s="0" t="s">
        <v>45</v>
      </c>
      <c r="B168" s="0" t="n">
        <f aca="false">IF(OR(BS168&gt;=Settings!$B$5,Settings!$C$16&gt;0),BS168,0)</f>
        <v>0.145555555555556</v>
      </c>
      <c r="C168" s="0" t="n">
        <f aca="false">$B168/C$1</f>
        <v>0.145555555555556</v>
      </c>
      <c r="D168" s="0" t="n">
        <f aca="false">$B168/D$1</f>
        <v>0.0485185185185185</v>
      </c>
      <c r="E168" s="0" t="n">
        <f aca="false">$B168/E$1</f>
        <v>0.0291111111111111</v>
      </c>
      <c r="F168" s="0" t="n">
        <f aca="false">$B168/F$1</f>
        <v>0.0207936507936508</v>
      </c>
      <c r="G168" s="0" t="n">
        <f aca="false">$B168/G$1</f>
        <v>0.0161728395061728</v>
      </c>
      <c r="H168" s="0" t="n">
        <f aca="false">$B168/H$1</f>
        <v>0.0132323232323232</v>
      </c>
      <c r="I168" s="0" t="n">
        <f aca="false">$B168/I$1</f>
        <v>0.0111965811965812</v>
      </c>
      <c r="J168" s="0" t="n">
        <f aca="false">$B168/J$1</f>
        <v>0.0097037037037037</v>
      </c>
      <c r="K168" s="0" t="n">
        <f aca="false">$B168/K$1</f>
        <v>0.00856209150326797</v>
      </c>
      <c r="L168" s="0" t="n">
        <f aca="false">$B168/L$1</f>
        <v>0.00766081871345029</v>
      </c>
      <c r="M168" s="0" t="n">
        <f aca="false">$B168/M$1</f>
        <v>0.00693121693121693</v>
      </c>
      <c r="N168" s="0" t="n">
        <f aca="false">$B168/N$1</f>
        <v>0.00632850241545894</v>
      </c>
      <c r="O168" s="0" t="n">
        <f aca="false">$B168/O$1</f>
        <v>0.00582222222222222</v>
      </c>
      <c r="P168" s="0" t="n">
        <f aca="false">$B168/P$1</f>
        <v>0.00539094650205761</v>
      </c>
      <c r="Q168" s="0" t="n">
        <f aca="false">$B168/Q$1</f>
        <v>0.00501915708812261</v>
      </c>
      <c r="R168" s="0" t="n">
        <f aca="false">$B168/R$1</f>
        <v>0.00469534050179212</v>
      </c>
      <c r="S168" s="0" t="n">
        <f aca="false">$B168/S$1</f>
        <v>0.00441077441077441</v>
      </c>
      <c r="T168" s="0" t="n">
        <f aca="false">$B168/T$1</f>
        <v>0.00415873015873016</v>
      </c>
      <c r="U168" s="0" t="n">
        <f aca="false">$B168/U$1</f>
        <v>0.00393393393393393</v>
      </c>
      <c r="V168" s="0" t="n">
        <f aca="false">$B168/V$1</f>
        <v>0.00373219373219373</v>
      </c>
      <c r="W168" s="0" t="n">
        <f aca="false">$B168/W$1</f>
        <v>0.00355013550135501</v>
      </c>
      <c r="X168" s="0" t="n">
        <f aca="false">$B168/X$1</f>
        <v>0.00338501291989664</v>
      </c>
      <c r="Y168" s="0" t="n">
        <f aca="false">$B168/Y$1</f>
        <v>0.00323456790123457</v>
      </c>
      <c r="Z168" s="0" t="n">
        <f aca="false">$B168/Z$1</f>
        <v>0.00309692671394799</v>
      </c>
      <c r="AA168" s="0" t="n">
        <f aca="false">$B168/AA$1</f>
        <v>0.00297052154195011</v>
      </c>
      <c r="AB168" s="0" t="n">
        <f aca="false">$B168/AB$1</f>
        <v>0.00285403050108932</v>
      </c>
      <c r="AC168" s="0" t="n">
        <f aca="false">$B168/AC$1</f>
        <v>0.00274633123689727</v>
      </c>
      <c r="AD168" s="0" t="n">
        <f aca="false">$B168/AD$1</f>
        <v>0.00264646464646465</v>
      </c>
      <c r="AE168" s="0" t="n">
        <f aca="false">$B168/AE$1</f>
        <v>0.00255360623781676</v>
      </c>
      <c r="AF168" s="0" t="n">
        <f aca="false">$B168/AF$1</f>
        <v>0.00246704331450094</v>
      </c>
      <c r="AG168" s="0" t="n">
        <f aca="false">$B168/AG$1</f>
        <v>0.00238615664845173</v>
      </c>
      <c r="AH168" s="0" t="n">
        <f aca="false">$B168/AH$1</f>
        <v>0.00231040564373898</v>
      </c>
      <c r="AI168" s="0" t="n">
        <f aca="false">$B168/AI$1</f>
        <v>0.00223931623931624</v>
      </c>
      <c r="AJ168" s="0" t="n">
        <f aca="false">$B168/AJ$1</f>
        <v>0.00217247097844113</v>
      </c>
      <c r="AK168" s="0" t="n">
        <f aca="false">$B168/AK$1</f>
        <v>0.00210950080515298</v>
      </c>
      <c r="AL168" s="0" t="n">
        <f aca="false">$B168/AL$1</f>
        <v>0.00205007824726135</v>
      </c>
      <c r="AM168" s="0" t="n">
        <f aca="false">$B168/AM$1</f>
        <v>0.00199391171993912</v>
      </c>
      <c r="AN168" s="0" t="n">
        <f aca="false">$B168/AN$1</f>
        <v>0.00194074074074074</v>
      </c>
      <c r="AO168" s="0" t="n">
        <f aca="false">$B168/AO$1</f>
        <v>0.00189033189033189</v>
      </c>
      <c r="AP168" s="0" t="n">
        <f aca="false">$B168/AP$1</f>
        <v>0.00184247538677918</v>
      </c>
      <c r="AQ168" s="0" t="n">
        <f aca="false">$B168/AQ$1</f>
        <v>0.00179698216735254</v>
      </c>
      <c r="AR168" s="0" t="n">
        <f aca="false">$B168/AR$1</f>
        <v>0.00175368139223561</v>
      </c>
      <c r="AS168" s="0" t="n">
        <f aca="false">$B168/AS$1</f>
        <v>0.00171241830065359</v>
      </c>
      <c r="AT168" s="0" t="n">
        <f aca="false">$B168/AT$1</f>
        <v>0.00167305236270754</v>
      </c>
      <c r="AU168" s="0" t="n">
        <f aca="false">$B168/AU$1</f>
        <v>0.0016354556803995</v>
      </c>
      <c r="AV168" s="0" t="n">
        <f aca="false">$B168/AV$1</f>
        <v>0.0015995115995116</v>
      </c>
      <c r="AW168" s="0" t="n">
        <f aca="false">$B168/AW$1</f>
        <v>0.00156511350059737</v>
      </c>
      <c r="AX168" s="0" t="n">
        <f aca="false">$B168/AX$1</f>
        <v>0.00153216374269006</v>
      </c>
      <c r="AY168" s="0" t="n">
        <f aca="false">$B168/AY$1</f>
        <v>0.00150057273768614</v>
      </c>
      <c r="AZ168" s="0" t="n">
        <f aca="false">$B168/AZ$1</f>
        <v>0.0014702581369248</v>
      </c>
      <c r="BA168" s="0" t="n">
        <f aca="false">$B168/BA$1</f>
        <v>0.00144114411441144</v>
      </c>
      <c r="BB168" s="0" t="n">
        <f aca="false">$B168/BB$1</f>
        <v>0.00141316073354908</v>
      </c>
      <c r="BC168" s="0" t="n">
        <f aca="false">$B168/BC$1</f>
        <v>0.00138624338624339</v>
      </c>
      <c r="BD168" s="0" t="n">
        <f aca="false">$B168/BD$1</f>
        <v>0.00136033229491173</v>
      </c>
      <c r="BE168" s="0" t="n">
        <f aca="false">$B168/BE$1</f>
        <v>0.00133537206931702</v>
      </c>
      <c r="BF168" s="0" t="n">
        <f aca="false">$B168/BF$1</f>
        <v>0.00131131131131131</v>
      </c>
      <c r="BG168" s="0" t="n">
        <f aca="false">$B168/BG$1</f>
        <v>0.00128810226155359</v>
      </c>
      <c r="BH168" s="0" t="n">
        <f aca="false">$B168/BH$1</f>
        <v>0.00126570048309179</v>
      </c>
      <c r="BI168" s="0" t="n">
        <f aca="false">$B168/BI$1</f>
        <v>0.00124406457739791</v>
      </c>
      <c r="BJ168" s="0" t="n">
        <f aca="false">$B168/BJ$1</f>
        <v>0.00122315592903828</v>
      </c>
      <c r="BL168" s="0" t="n">
        <f aca="false">IF($B$165=1,COUNTIF(C168:BJ168,"&gt;="&amp;$C$165),0)</f>
        <v>18</v>
      </c>
      <c r="BM168" s="0" t="n">
        <f aca="false">IF($B$165=1,IF(OR(BS168&gt;=Settings!$B$5,Settings!$C$16&gt;0),MAX(BL168,Settings!$C$16),0),0)</f>
        <v>18</v>
      </c>
      <c r="BN168" s="0" t="n">
        <f aca="false">IF($B$165=1,IF(OR(BS168&gt;=Settings!$B$5,Settings!$C$16&gt;0),MAX(0,(2*MAX(BL168,Settings!$C$16)+1)*$C$165-BS168),MAX(0,Settings!$B$5-BS168)),"")</f>
        <v>0.00737777777777779</v>
      </c>
      <c r="BO168" s="0" t="n">
        <f aca="false">IF($B$165=1,IF(OR(BS168&gt;=Settings!$B$5,Settings!$C$16&gt;0),IF(BL168&lt;=Settings!$C$16,"Protected by electorates",IF(Settings!$C$16=0,MIN(BS168-(2*BL168-1)*$D$165,BS168-Settings!$B$5),BS168-(2*BL168-1)*$D$165)),""),"")</f>
        <v>0.0010466988727858</v>
      </c>
      <c r="BP168" s="0" t="n">
        <f aca="false">IF($B$165=1,IF(OR(BS168&gt;=Settings!$B$5,Settings!$C$16&gt;0),MAX(0,MIN(1,(BS168/$C$165-(2*MAX(BL168,Settings!$C$16)-1))/2)),MIN(1,BS168/Settings!$B$5)),"")</f>
        <v>0.107526881720428</v>
      </c>
      <c r="BQ168" s="0" t="n">
        <f aca="false">IF(AND($B$165=1,COUNTIF(C168:BJ168,$C$165)&gt;0),1,0)</f>
        <v>0</v>
      </c>
      <c r="BR168" s="0" t="n">
        <f aca="false">IF(AND($B$165=1,COUNTIF(C168:BJ168,$D$165)&gt;0),1,0)</f>
        <v>0</v>
      </c>
      <c r="BS168" s="0" t="n">
        <f aca="false">N(IF(Polls!J24="",Polls!J37,Polls!J24))</f>
        <v>0.145555555555556</v>
      </c>
      <c r="BT168" s="0" t="str">
        <f aca="false">IF(OR(BS168&gt;=Settings!$B$5,Settings!$C$16&gt;0),"Next seat","Threshold")</f>
        <v>Next seat</v>
      </c>
    </row>
    <row r="169" customFormat="false" ht="15" hidden="false" customHeight="false" outlineLevel="0" collapsed="false">
      <c r="A169" s="0" t="s">
        <v>46</v>
      </c>
      <c r="B169" s="0" t="n">
        <f aca="false">IF(OR(BS169&gt;=Settings!$B$5,Settings!$C$17&gt;0),BS169,0)</f>
        <v>0.0963333333333333</v>
      </c>
      <c r="C169" s="0" t="n">
        <f aca="false">$B169/C$1</f>
        <v>0.0963333333333333</v>
      </c>
      <c r="D169" s="0" t="n">
        <f aca="false">$B169/D$1</f>
        <v>0.0321111111111111</v>
      </c>
      <c r="E169" s="0" t="n">
        <f aca="false">$B169/E$1</f>
        <v>0.0192666666666667</v>
      </c>
      <c r="F169" s="0" t="n">
        <f aca="false">$B169/F$1</f>
        <v>0.0137619047619048</v>
      </c>
      <c r="G169" s="0" t="n">
        <f aca="false">$B169/G$1</f>
        <v>0.0107037037037037</v>
      </c>
      <c r="H169" s="0" t="n">
        <f aca="false">$B169/H$1</f>
        <v>0.00875757575757576</v>
      </c>
      <c r="I169" s="0" t="n">
        <f aca="false">$B169/I$1</f>
        <v>0.00741025641025641</v>
      </c>
      <c r="J169" s="0" t="n">
        <f aca="false">$B169/J$1</f>
        <v>0.00642222222222222</v>
      </c>
      <c r="K169" s="0" t="n">
        <f aca="false">$B169/K$1</f>
        <v>0.00566666666666667</v>
      </c>
      <c r="L169" s="0" t="n">
        <f aca="false">$B169/L$1</f>
        <v>0.00507017543859649</v>
      </c>
      <c r="M169" s="0" t="n">
        <f aca="false">$B169/M$1</f>
        <v>0.00458730158730159</v>
      </c>
      <c r="N169" s="0" t="n">
        <f aca="false">$B169/N$1</f>
        <v>0.00418840579710145</v>
      </c>
      <c r="O169" s="0" t="n">
        <f aca="false">$B169/O$1</f>
        <v>0.00385333333333333</v>
      </c>
      <c r="P169" s="0" t="n">
        <f aca="false">$B169/P$1</f>
        <v>0.0035679012345679</v>
      </c>
      <c r="Q169" s="0" t="n">
        <f aca="false">$B169/Q$1</f>
        <v>0.00332183908045977</v>
      </c>
      <c r="R169" s="0" t="n">
        <f aca="false">$B169/R$1</f>
        <v>0.00310752688172043</v>
      </c>
      <c r="S169" s="0" t="n">
        <f aca="false">$B169/S$1</f>
        <v>0.00291919191919192</v>
      </c>
      <c r="T169" s="0" t="n">
        <f aca="false">$B169/T$1</f>
        <v>0.00275238095238095</v>
      </c>
      <c r="U169" s="0" t="n">
        <f aca="false">$B169/U$1</f>
        <v>0.0026036036036036</v>
      </c>
      <c r="V169" s="0" t="n">
        <f aca="false">$B169/V$1</f>
        <v>0.00247008547008547</v>
      </c>
      <c r="W169" s="0" t="n">
        <f aca="false">$B169/W$1</f>
        <v>0.00234959349593496</v>
      </c>
      <c r="X169" s="0" t="n">
        <f aca="false">$B169/X$1</f>
        <v>0.00224031007751938</v>
      </c>
      <c r="Y169" s="0" t="n">
        <f aca="false">$B169/Y$1</f>
        <v>0.00214074074074074</v>
      </c>
      <c r="Z169" s="0" t="n">
        <f aca="false">$B169/Z$1</f>
        <v>0.00204964539007092</v>
      </c>
      <c r="AA169" s="0" t="n">
        <f aca="false">$B169/AA$1</f>
        <v>0.00196598639455782</v>
      </c>
      <c r="AB169" s="0" t="n">
        <f aca="false">$B169/AB$1</f>
        <v>0.00188888888888889</v>
      </c>
      <c r="AC169" s="0" t="n">
        <f aca="false">$B169/AC$1</f>
        <v>0.00181761006289308</v>
      </c>
      <c r="AD169" s="0" t="n">
        <f aca="false">$B169/AD$1</f>
        <v>0.00175151515151515</v>
      </c>
      <c r="AE169" s="0" t="n">
        <f aca="false">$B169/AE$1</f>
        <v>0.00169005847953216</v>
      </c>
      <c r="AF169" s="0" t="n">
        <f aca="false">$B169/AF$1</f>
        <v>0.00163276836158192</v>
      </c>
      <c r="AG169" s="0" t="n">
        <f aca="false">$B169/AG$1</f>
        <v>0.0015792349726776</v>
      </c>
      <c r="AH169" s="0" t="n">
        <f aca="false">$B169/AH$1</f>
        <v>0.00152910052910053</v>
      </c>
      <c r="AI169" s="0" t="n">
        <f aca="false">$B169/AI$1</f>
        <v>0.00148205128205128</v>
      </c>
      <c r="AJ169" s="0" t="n">
        <f aca="false">$B169/AJ$1</f>
        <v>0.00143781094527363</v>
      </c>
      <c r="AK169" s="0" t="n">
        <f aca="false">$B169/AK$1</f>
        <v>0.00139613526570048</v>
      </c>
      <c r="AL169" s="0" t="n">
        <f aca="false">$B169/AL$1</f>
        <v>0.00135680751173709</v>
      </c>
      <c r="AM169" s="0" t="n">
        <f aca="false">$B169/AM$1</f>
        <v>0.00131963470319635</v>
      </c>
      <c r="AN169" s="0" t="n">
        <f aca="false">$B169/AN$1</f>
        <v>0.00128444444444444</v>
      </c>
      <c r="AO169" s="0" t="n">
        <f aca="false">$B169/AO$1</f>
        <v>0.00125108225108225</v>
      </c>
      <c r="AP169" s="0" t="n">
        <f aca="false">$B169/AP$1</f>
        <v>0.00121940928270042</v>
      </c>
      <c r="AQ169" s="0" t="n">
        <f aca="false">$B169/AQ$1</f>
        <v>0.00118930041152263</v>
      </c>
      <c r="AR169" s="0" t="n">
        <f aca="false">$B169/AR$1</f>
        <v>0.00116064257028112</v>
      </c>
      <c r="AS169" s="0" t="n">
        <f aca="false">$B169/AS$1</f>
        <v>0.00113333333333333</v>
      </c>
      <c r="AT169" s="0" t="n">
        <f aca="false">$B169/AT$1</f>
        <v>0.00110727969348659</v>
      </c>
      <c r="AU169" s="0" t="n">
        <f aca="false">$B169/AU$1</f>
        <v>0.00108239700374532</v>
      </c>
      <c r="AV169" s="0" t="n">
        <f aca="false">$B169/AV$1</f>
        <v>0.00105860805860806</v>
      </c>
      <c r="AW169" s="0" t="n">
        <f aca="false">$B169/AW$1</f>
        <v>0.00103584229390681</v>
      </c>
      <c r="AX169" s="0" t="n">
        <f aca="false">$B169/AX$1</f>
        <v>0.0010140350877193</v>
      </c>
      <c r="AY169" s="0" t="n">
        <f aca="false">$B169/AY$1</f>
        <v>0.000993127147766323</v>
      </c>
      <c r="AZ169" s="0" t="n">
        <f aca="false">$B169/AZ$1</f>
        <v>0.000973063973063973</v>
      </c>
      <c r="BA169" s="0" t="n">
        <f aca="false">$B169/BA$1</f>
        <v>0.000953795379537954</v>
      </c>
      <c r="BB169" s="0" t="n">
        <f aca="false">$B169/BB$1</f>
        <v>0.000935275080906149</v>
      </c>
      <c r="BC169" s="0" t="n">
        <f aca="false">$B169/BC$1</f>
        <v>0.000917460317460317</v>
      </c>
      <c r="BD169" s="0" t="n">
        <f aca="false">$B169/BD$1</f>
        <v>0.000900311526479751</v>
      </c>
      <c r="BE169" s="0" t="n">
        <f aca="false">$B169/BE$1</f>
        <v>0.000883792048929664</v>
      </c>
      <c r="BF169" s="0" t="n">
        <f aca="false">$B169/BF$1</f>
        <v>0.000867867867867868</v>
      </c>
      <c r="BG169" s="0" t="n">
        <f aca="false">$B169/BG$1</f>
        <v>0.000852507374631268</v>
      </c>
      <c r="BH169" s="0" t="n">
        <f aca="false">$B169/BH$1</f>
        <v>0.00083768115942029</v>
      </c>
      <c r="BI169" s="0" t="n">
        <f aca="false">$B169/BI$1</f>
        <v>0.000823361823361823</v>
      </c>
      <c r="BJ169" s="0" t="n">
        <f aca="false">$B169/BJ$1</f>
        <v>0.00080952380952381</v>
      </c>
      <c r="BL169" s="0" t="n">
        <f aca="false">IF($B$165=1,COUNTIF(C169:BJ169,"&gt;="&amp;$C$165),0)</f>
        <v>12</v>
      </c>
      <c r="BM169" s="0" t="n">
        <f aca="false">IF($B$165=1,IF(OR(BS169&gt;=Settings!$B$5,Settings!$C$17&gt;0),MAX(BL169,Settings!$C$17),0),0)</f>
        <v>12</v>
      </c>
      <c r="BN169" s="0" t="n">
        <f aca="false">IF($B$165=1,IF(OR(BS169&gt;=Settings!$B$5,Settings!$C$17&gt;0),MAX(0,(2*MAX(BL169,Settings!$C$17)+1)*$C$165-BS169),MAX(0,Settings!$B$5-BS169)),"")</f>
        <v>0.00700000000000001</v>
      </c>
      <c r="BO169" s="0" t="n">
        <f aca="false">IF($B$165=1,IF(OR(BS169&gt;=Settings!$B$5,Settings!$C$17&gt;0),IF(BL169&lt;=Settings!$C$17,"Protected by electorates",IF(Settings!$C$17=0,MIN(BS169-(2*BL169-1)*$D$165,BS169-Settings!$B$5),BS169-(2*BL169-1)*$D$165)),""),"")</f>
        <v>0.00137037037037036</v>
      </c>
      <c r="BP169" s="0" t="n">
        <f aca="false">IF($B$165=1,IF(OR(BS169&gt;=Settings!$B$5,Settings!$C$17&gt;0),MAX(0,MIN(1,(BS169/$C$165-(2*MAX(BL169,Settings!$C$17)-1))/2)),MIN(1,BS169/Settings!$B$5)),"")</f>
        <v>0.153225806451612</v>
      </c>
      <c r="BQ169" s="0" t="n">
        <f aca="false">IF(AND($B$165=1,COUNTIF(C169:BJ169,$C$165)&gt;0),1,0)</f>
        <v>0</v>
      </c>
      <c r="BR169" s="0" t="n">
        <f aca="false">IF(AND($B$165=1,COUNTIF(C169:BJ169,$D$165)&gt;0),1,0)</f>
        <v>0</v>
      </c>
      <c r="BS169" s="0" t="n">
        <f aca="false">N(IF(Polls!K24="",Polls!K37,Polls!K24))</f>
        <v>0.0963333333333333</v>
      </c>
      <c r="BT169" s="0" t="str">
        <f aca="false">IF(OR(BS169&gt;=Settings!$B$5,Settings!$C$17&gt;0),"Next seat","Threshold")</f>
        <v>Next seat</v>
      </c>
    </row>
    <row r="170" customFormat="false" ht="15" hidden="false" customHeight="false" outlineLevel="0" collapsed="false">
      <c r="A170" s="0" t="s">
        <v>48</v>
      </c>
      <c r="B170" s="0" t="n">
        <f aca="false">IF(OR(BS170&gt;=Settings!$B$5,Settings!$C$18&gt;0),BS170,0)</f>
        <v>0.103333333333333</v>
      </c>
      <c r="C170" s="0" t="n">
        <f aca="false">$B170/C$1</f>
        <v>0.103333333333333</v>
      </c>
      <c r="D170" s="0" t="n">
        <f aca="false">$B170/D$1</f>
        <v>0.0344444444444444</v>
      </c>
      <c r="E170" s="0" t="n">
        <f aca="false">$B170/E$1</f>
        <v>0.0206666666666667</v>
      </c>
      <c r="F170" s="0" t="n">
        <f aca="false">$B170/F$1</f>
        <v>0.0147619047619048</v>
      </c>
      <c r="G170" s="0" t="n">
        <f aca="false">$B170/G$1</f>
        <v>0.0114814814814815</v>
      </c>
      <c r="H170" s="0" t="n">
        <f aca="false">$B170/H$1</f>
        <v>0.00939393939393939</v>
      </c>
      <c r="I170" s="0" t="n">
        <f aca="false">$B170/I$1</f>
        <v>0.00794871794871795</v>
      </c>
      <c r="J170" s="0" t="n">
        <f aca="false">$B170/J$1</f>
        <v>0.00688888888888889</v>
      </c>
      <c r="K170" s="0" t="n">
        <f aca="false">$B170/K$1</f>
        <v>0.00607843137254902</v>
      </c>
      <c r="L170" s="0" t="n">
        <f aca="false">$B170/L$1</f>
        <v>0.00543859649122807</v>
      </c>
      <c r="M170" s="0" t="n">
        <f aca="false">$B170/M$1</f>
        <v>0.00492063492063492</v>
      </c>
      <c r="N170" s="0" t="n">
        <f aca="false">$B170/N$1</f>
        <v>0.00449275362318841</v>
      </c>
      <c r="O170" s="0" t="n">
        <f aca="false">$B170/O$1</f>
        <v>0.00413333333333333</v>
      </c>
      <c r="P170" s="0" t="n">
        <f aca="false">$B170/P$1</f>
        <v>0.00382716049382716</v>
      </c>
      <c r="Q170" s="0" t="n">
        <f aca="false">$B170/Q$1</f>
        <v>0.0035632183908046</v>
      </c>
      <c r="R170" s="0" t="n">
        <f aca="false">$B170/R$1</f>
        <v>0.00333333333333333</v>
      </c>
      <c r="S170" s="0" t="n">
        <f aca="false">$B170/S$1</f>
        <v>0.00313131313131313</v>
      </c>
      <c r="T170" s="0" t="n">
        <f aca="false">$B170/T$1</f>
        <v>0.00295238095238095</v>
      </c>
      <c r="U170" s="0" t="n">
        <f aca="false">$B170/U$1</f>
        <v>0.00279279279279279</v>
      </c>
      <c r="V170" s="0" t="n">
        <f aca="false">$B170/V$1</f>
        <v>0.00264957264957265</v>
      </c>
      <c r="W170" s="0" t="n">
        <f aca="false">$B170/W$1</f>
        <v>0.00252032520325203</v>
      </c>
      <c r="X170" s="0" t="n">
        <f aca="false">$B170/X$1</f>
        <v>0.0024031007751938</v>
      </c>
      <c r="Y170" s="0" t="n">
        <f aca="false">$B170/Y$1</f>
        <v>0.0022962962962963</v>
      </c>
      <c r="Z170" s="0" t="n">
        <f aca="false">$B170/Z$1</f>
        <v>0.00219858156028369</v>
      </c>
      <c r="AA170" s="0" t="n">
        <f aca="false">$B170/AA$1</f>
        <v>0.00210884353741497</v>
      </c>
      <c r="AB170" s="0" t="n">
        <f aca="false">$B170/AB$1</f>
        <v>0.00202614379084967</v>
      </c>
      <c r="AC170" s="0" t="n">
        <f aca="false">$B170/AC$1</f>
        <v>0.0019496855345912</v>
      </c>
      <c r="AD170" s="0" t="n">
        <f aca="false">$B170/AD$1</f>
        <v>0.00187878787878788</v>
      </c>
      <c r="AE170" s="0" t="n">
        <f aca="false">$B170/AE$1</f>
        <v>0.00181286549707602</v>
      </c>
      <c r="AF170" s="0" t="n">
        <f aca="false">$B170/AF$1</f>
        <v>0.00175141242937853</v>
      </c>
      <c r="AG170" s="0" t="n">
        <f aca="false">$B170/AG$1</f>
        <v>0.00169398907103825</v>
      </c>
      <c r="AH170" s="0" t="n">
        <f aca="false">$B170/AH$1</f>
        <v>0.00164021164021164</v>
      </c>
      <c r="AI170" s="0" t="n">
        <f aca="false">$B170/AI$1</f>
        <v>0.00158974358974359</v>
      </c>
      <c r="AJ170" s="0" t="n">
        <f aca="false">$B170/AJ$1</f>
        <v>0.00154228855721393</v>
      </c>
      <c r="AK170" s="0" t="n">
        <f aca="false">$B170/AK$1</f>
        <v>0.0014975845410628</v>
      </c>
      <c r="AL170" s="0" t="n">
        <f aca="false">$B170/AL$1</f>
        <v>0.00145539906103286</v>
      </c>
      <c r="AM170" s="0" t="n">
        <f aca="false">$B170/AM$1</f>
        <v>0.00141552511415525</v>
      </c>
      <c r="AN170" s="0" t="n">
        <f aca="false">$B170/AN$1</f>
        <v>0.00137777777777778</v>
      </c>
      <c r="AO170" s="0" t="n">
        <f aca="false">$B170/AO$1</f>
        <v>0.00134199134199134</v>
      </c>
      <c r="AP170" s="0" t="n">
        <f aca="false">$B170/AP$1</f>
        <v>0.00130801687763713</v>
      </c>
      <c r="AQ170" s="0" t="n">
        <f aca="false">$B170/AQ$1</f>
        <v>0.00127572016460905</v>
      </c>
      <c r="AR170" s="0" t="n">
        <f aca="false">$B170/AR$1</f>
        <v>0.00124497991967872</v>
      </c>
      <c r="AS170" s="0" t="n">
        <f aca="false">$B170/AS$1</f>
        <v>0.0012156862745098</v>
      </c>
      <c r="AT170" s="0" t="n">
        <f aca="false">$B170/AT$1</f>
        <v>0.00118773946360153</v>
      </c>
      <c r="AU170" s="0" t="n">
        <f aca="false">$B170/AU$1</f>
        <v>0.00116104868913858</v>
      </c>
      <c r="AV170" s="0" t="n">
        <f aca="false">$B170/AV$1</f>
        <v>0.00113553113553114</v>
      </c>
      <c r="AW170" s="0" t="n">
        <f aca="false">$B170/AW$1</f>
        <v>0.00111111111111111</v>
      </c>
      <c r="AX170" s="0" t="n">
        <f aca="false">$B170/AX$1</f>
        <v>0.00108771929824561</v>
      </c>
      <c r="AY170" s="0" t="n">
        <f aca="false">$B170/AY$1</f>
        <v>0.00106529209621993</v>
      </c>
      <c r="AZ170" s="0" t="n">
        <f aca="false">$B170/AZ$1</f>
        <v>0.00104377104377104</v>
      </c>
      <c r="BA170" s="0" t="n">
        <f aca="false">$B170/BA$1</f>
        <v>0.00102310231023102</v>
      </c>
      <c r="BB170" s="0" t="n">
        <f aca="false">$B170/BB$1</f>
        <v>0.00100323624595469</v>
      </c>
      <c r="BC170" s="0" t="n">
        <f aca="false">$B170/BC$1</f>
        <v>0.000984126984126984</v>
      </c>
      <c r="BD170" s="0" t="n">
        <f aca="false">$B170/BD$1</f>
        <v>0.000965732087227414</v>
      </c>
      <c r="BE170" s="0" t="n">
        <f aca="false">$B170/BE$1</f>
        <v>0.000948012232415902</v>
      </c>
      <c r="BF170" s="0" t="n">
        <f aca="false">$B170/BF$1</f>
        <v>0.000930930930930931</v>
      </c>
      <c r="BG170" s="0" t="n">
        <f aca="false">$B170/BG$1</f>
        <v>0.000914454277286136</v>
      </c>
      <c r="BH170" s="0" t="n">
        <f aca="false">$B170/BH$1</f>
        <v>0.000898550724637681</v>
      </c>
      <c r="BI170" s="0" t="n">
        <f aca="false">$B170/BI$1</f>
        <v>0.000883190883190883</v>
      </c>
      <c r="BJ170" s="0" t="n">
        <f aca="false">$B170/BJ$1</f>
        <v>0.000868347338935574</v>
      </c>
      <c r="BL170" s="0" t="n">
        <f aca="false">IF($B$165=1,COUNTIF(C170:BJ170,"&gt;="&amp;$C$165),0)</f>
        <v>13</v>
      </c>
      <c r="BM170" s="0" t="n">
        <f aca="false">IF($B$165=1,IF(OR(BS170&gt;=Settings!$B$5,Settings!$C$18&gt;0),MAX(BL170,Settings!$C$18),0),0)</f>
        <v>13</v>
      </c>
      <c r="BN170" s="0" t="n">
        <f aca="false">IF($B$165=1,IF(OR(BS170&gt;=Settings!$B$5,Settings!$C$18&gt;0),MAX(0,(2*MAX(BL170,Settings!$C$18)+1)*$C$165-BS170),MAX(0,Settings!$B$5-BS170)),"")</f>
        <v>0.00826666666666667</v>
      </c>
      <c r="BO170" s="0" t="n">
        <f aca="false">IF($B$165=1,IF(OR(BS170&gt;=Settings!$B$5,Settings!$C$18&gt;0),IF(BL170&lt;=Settings!$C$18,"Protected by electorates",IF(Settings!$C$18=0,MIN(BS170-(2*BL170-1)*$D$165,BS170-Settings!$B$5),BS170-(2*BL170-1)*$D$165)),""),"")</f>
        <v>0.000112721417069223</v>
      </c>
      <c r="BP170" s="0" t="n">
        <f aca="false">IF($B$165=1,IF(OR(BS170&gt;=Settings!$B$5,Settings!$C$18&gt;0),MAX(0,MIN(1,(BS170/$C$165-(2*MAX(BL170,Settings!$C$18)-1))/2)),MIN(1,BS170/Settings!$B$5)),"")</f>
        <v>0</v>
      </c>
      <c r="BQ170" s="0" t="n">
        <f aca="false">IF(AND($B$165=1,COUNTIF(C170:BJ170,$C$165)&gt;0),1,0)</f>
        <v>1</v>
      </c>
      <c r="BR170" s="0" t="n">
        <f aca="false">IF(AND($B$165=1,COUNTIF(C170:BJ170,$D$165)&gt;0),1,0)</f>
        <v>0</v>
      </c>
      <c r="BS170" s="0" t="n">
        <f aca="false">N(IF(Polls!L24="",Polls!L37,Polls!L24))</f>
        <v>0.103333333333333</v>
      </c>
      <c r="BT170" s="0" t="str">
        <f aca="false">IF(OR(BS170&gt;=Settings!$B$5,Settings!$C$18&gt;0),"Next seat","Threshold")</f>
        <v>Next seat</v>
      </c>
    </row>
    <row r="171" customFormat="false" ht="15" hidden="false" customHeight="false" outlineLevel="0" collapsed="false">
      <c r="A171" s="0" t="s">
        <v>50</v>
      </c>
      <c r="B171" s="0" t="n">
        <f aca="false">IF(OR(BS171&gt;=Settings!$B$5,Settings!$C$19&gt;0),BS171,0)</f>
        <v>0.0145</v>
      </c>
      <c r="C171" s="0" t="n">
        <f aca="false">$B171/C$1</f>
        <v>0.0145</v>
      </c>
      <c r="D171" s="0" t="n">
        <f aca="false">$B171/D$1</f>
        <v>0.00483333333333333</v>
      </c>
      <c r="E171" s="0" t="n">
        <f aca="false">$B171/E$1</f>
        <v>0.0029</v>
      </c>
      <c r="F171" s="0" t="n">
        <f aca="false">$B171/F$1</f>
        <v>0.00207142857142857</v>
      </c>
      <c r="G171" s="0" t="n">
        <f aca="false">$B171/G$1</f>
        <v>0.00161111111111111</v>
      </c>
      <c r="H171" s="0" t="n">
        <f aca="false">$B171/H$1</f>
        <v>0.00131818181818182</v>
      </c>
      <c r="I171" s="0" t="n">
        <f aca="false">$B171/I$1</f>
        <v>0.00111538461538462</v>
      </c>
      <c r="J171" s="0" t="n">
        <f aca="false">$B171/J$1</f>
        <v>0.000966666666666667</v>
      </c>
      <c r="K171" s="0" t="n">
        <f aca="false">$B171/K$1</f>
        <v>0.000852941176470588</v>
      </c>
      <c r="L171" s="0" t="n">
        <f aca="false">$B171/L$1</f>
        <v>0.000763157894736842</v>
      </c>
      <c r="M171" s="0" t="n">
        <f aca="false">$B171/M$1</f>
        <v>0.000690476190476191</v>
      </c>
      <c r="N171" s="0" t="n">
        <f aca="false">$B171/N$1</f>
        <v>0.000630434782608696</v>
      </c>
      <c r="O171" s="0" t="n">
        <f aca="false">$B171/O$1</f>
        <v>0.00058</v>
      </c>
      <c r="P171" s="0" t="n">
        <f aca="false">$B171/P$1</f>
        <v>0.000537037037037037</v>
      </c>
      <c r="Q171" s="0" t="n">
        <f aca="false">$B171/Q$1</f>
        <v>0.0005</v>
      </c>
      <c r="R171" s="0" t="n">
        <f aca="false">$B171/R$1</f>
        <v>0.000467741935483871</v>
      </c>
      <c r="S171" s="0" t="n">
        <f aca="false">$B171/S$1</f>
        <v>0.000439393939393939</v>
      </c>
      <c r="T171" s="0" t="n">
        <f aca="false">$B171/T$1</f>
        <v>0.000414285714285714</v>
      </c>
      <c r="U171" s="0" t="n">
        <f aca="false">$B171/U$1</f>
        <v>0.000391891891891892</v>
      </c>
      <c r="V171" s="0" t="n">
        <f aca="false">$B171/V$1</f>
        <v>0.000371794871794872</v>
      </c>
      <c r="W171" s="0" t="n">
        <f aca="false">$B171/W$1</f>
        <v>0.000353658536585366</v>
      </c>
      <c r="X171" s="0" t="n">
        <f aca="false">$B171/X$1</f>
        <v>0.000337209302325581</v>
      </c>
      <c r="Y171" s="0" t="n">
        <f aca="false">$B171/Y$1</f>
        <v>0.000322222222222222</v>
      </c>
      <c r="Z171" s="0" t="n">
        <f aca="false">$B171/Z$1</f>
        <v>0.000308510638297872</v>
      </c>
      <c r="AA171" s="0" t="n">
        <f aca="false">$B171/AA$1</f>
        <v>0.000295918367346939</v>
      </c>
      <c r="AB171" s="0" t="n">
        <f aca="false">$B171/AB$1</f>
        <v>0.000284313725490196</v>
      </c>
      <c r="AC171" s="0" t="n">
        <f aca="false">$B171/AC$1</f>
        <v>0.000273584905660377</v>
      </c>
      <c r="AD171" s="0" t="n">
        <f aca="false">$B171/AD$1</f>
        <v>0.000263636363636364</v>
      </c>
      <c r="AE171" s="0" t="n">
        <f aca="false">$B171/AE$1</f>
        <v>0.000254385964912281</v>
      </c>
      <c r="AF171" s="0" t="n">
        <f aca="false">$B171/AF$1</f>
        <v>0.000245762711864407</v>
      </c>
      <c r="AG171" s="0" t="n">
        <f aca="false">$B171/AG$1</f>
        <v>0.000237704918032787</v>
      </c>
      <c r="AH171" s="0" t="n">
        <f aca="false">$B171/AH$1</f>
        <v>0.00023015873015873</v>
      </c>
      <c r="AI171" s="0" t="n">
        <f aca="false">$B171/AI$1</f>
        <v>0.000223076923076923</v>
      </c>
      <c r="AJ171" s="0" t="n">
        <f aca="false">$B171/AJ$1</f>
        <v>0.000216417910447761</v>
      </c>
      <c r="AK171" s="0" t="n">
        <f aca="false">$B171/AK$1</f>
        <v>0.000210144927536232</v>
      </c>
      <c r="AL171" s="0" t="n">
        <f aca="false">$B171/AL$1</f>
        <v>0.000204225352112676</v>
      </c>
      <c r="AM171" s="0" t="n">
        <f aca="false">$B171/AM$1</f>
        <v>0.000198630136986301</v>
      </c>
      <c r="AN171" s="0" t="n">
        <f aca="false">$B171/AN$1</f>
        <v>0.000193333333333333</v>
      </c>
      <c r="AO171" s="0" t="n">
        <f aca="false">$B171/AO$1</f>
        <v>0.000188311688311688</v>
      </c>
      <c r="AP171" s="0" t="n">
        <f aca="false">$B171/AP$1</f>
        <v>0.000183544303797468</v>
      </c>
      <c r="AQ171" s="0" t="n">
        <f aca="false">$B171/AQ$1</f>
        <v>0.000179012345679012</v>
      </c>
      <c r="AR171" s="0" t="n">
        <f aca="false">$B171/AR$1</f>
        <v>0.000174698795180723</v>
      </c>
      <c r="AS171" s="0" t="n">
        <f aca="false">$B171/AS$1</f>
        <v>0.000170588235294118</v>
      </c>
      <c r="AT171" s="0" t="n">
        <f aca="false">$B171/AT$1</f>
        <v>0.000166666666666667</v>
      </c>
      <c r="AU171" s="0" t="n">
        <f aca="false">$B171/AU$1</f>
        <v>0.000162921348314607</v>
      </c>
      <c r="AV171" s="0" t="n">
        <f aca="false">$B171/AV$1</f>
        <v>0.000159340659340659</v>
      </c>
      <c r="AW171" s="0" t="n">
        <f aca="false">$B171/AW$1</f>
        <v>0.000155913978494624</v>
      </c>
      <c r="AX171" s="0" t="n">
        <f aca="false">$B171/AX$1</f>
        <v>0.000152631578947368</v>
      </c>
      <c r="AY171" s="0" t="n">
        <f aca="false">$B171/AY$1</f>
        <v>0.000149484536082474</v>
      </c>
      <c r="AZ171" s="0" t="n">
        <f aca="false">$B171/AZ$1</f>
        <v>0.000146464646464646</v>
      </c>
      <c r="BA171" s="0" t="n">
        <f aca="false">$B171/BA$1</f>
        <v>0.000143564356435644</v>
      </c>
      <c r="BB171" s="0" t="n">
        <f aca="false">$B171/BB$1</f>
        <v>0.000140776699029126</v>
      </c>
      <c r="BC171" s="0" t="n">
        <f aca="false">$B171/BC$1</f>
        <v>0.000138095238095238</v>
      </c>
      <c r="BD171" s="0" t="n">
        <f aca="false">$B171/BD$1</f>
        <v>0.000135514018691589</v>
      </c>
      <c r="BE171" s="0" t="n">
        <f aca="false">$B171/BE$1</f>
        <v>0.00013302752293578</v>
      </c>
      <c r="BF171" s="0" t="n">
        <f aca="false">$B171/BF$1</f>
        <v>0.000130630630630631</v>
      </c>
      <c r="BG171" s="0" t="n">
        <f aca="false">$B171/BG$1</f>
        <v>0.000128318584070796</v>
      </c>
      <c r="BH171" s="0" t="n">
        <f aca="false">$B171/BH$1</f>
        <v>0.000126086956521739</v>
      </c>
      <c r="BI171" s="0" t="n">
        <f aca="false">$B171/BI$1</f>
        <v>0.000123931623931624</v>
      </c>
      <c r="BJ171" s="0" t="n">
        <f aca="false">$B171/BJ$1</f>
        <v>0.000121848739495798</v>
      </c>
      <c r="BL171" s="0" t="n">
        <f aca="false">IF($B$165=1,COUNTIF(C171:BJ171,"&gt;="&amp;$C$165),0)</f>
        <v>2</v>
      </c>
      <c r="BM171" s="0" t="n">
        <f aca="false">IF($B$165=1,IF(OR(BS171&gt;=Settings!$B$5,Settings!$C$19&gt;0),MAX(BL171,Settings!$C$19),0),0)</f>
        <v>4</v>
      </c>
      <c r="BN171" s="0" t="n">
        <f aca="false">IF($B$165=1,IF(OR(BS171&gt;=Settings!$B$5,Settings!$C$19&gt;0),MAX(0,(2*MAX(BL171,Settings!$C$19)+1)*$C$165-BS171),MAX(0,Settings!$B$5-BS171)),"")</f>
        <v>0.0227</v>
      </c>
      <c r="BO171" s="0" t="str">
        <f aca="false">IF($B$165=1,IF(OR(BS171&gt;=Settings!$B$5,Settings!$C$19&gt;0),IF(BL171&lt;=Settings!$C$19,"Protected by electorates",IF(Settings!$C$19=0,MIN(BS171-(2*BL171-1)*$D$165,BS171-Settings!$B$5),BS171-(2*BL171-1)*$D$165)),""),"")</f>
        <v>Protected by electorates</v>
      </c>
      <c r="BP171" s="0" t="n">
        <f aca="false">IF($B$165=1,IF(OR(BS171&gt;=Settings!$B$5,Settings!$C$19&gt;0),MAX(0,MIN(1,(BS171/$C$165-(2*MAX(BL171,Settings!$C$19)-1))/2)),MIN(1,BS171/Settings!$B$5)),"")</f>
        <v>0</v>
      </c>
      <c r="BQ171" s="0" t="n">
        <f aca="false">IF(AND($B$165=1,COUNTIF(C171:BJ171,$C$165)&gt;0),1,0)</f>
        <v>0</v>
      </c>
      <c r="BR171" s="0" t="n">
        <f aca="false">IF(AND($B$165=1,COUNTIF(C171:BJ171,$D$165)&gt;0),1,0)</f>
        <v>0</v>
      </c>
      <c r="BS171" s="0" t="n">
        <f aca="false">N(IF(Polls!M24="",Polls!M37,Polls!M24))</f>
        <v>0.0145</v>
      </c>
      <c r="BT171" s="0" t="str">
        <f aca="false">IF(OR(BS171&gt;=Settings!$B$5,Settings!$C$19&gt;0),"Next seat","Threshold")</f>
        <v>Next seat</v>
      </c>
    </row>
    <row r="172" customFormat="false" ht="15" hidden="false" customHeight="false" outlineLevel="0" collapsed="false">
      <c r="A172" s="0" t="s">
        <v>52</v>
      </c>
      <c r="B172" s="0" t="n">
        <f aca="false">IF(OR(BS172&gt;=Settings!$B$5,Settings!$C$20&gt;0),BS172,0)</f>
        <v>0.0614444444444445</v>
      </c>
      <c r="C172" s="0" t="n">
        <f aca="false">$B172/C$1</f>
        <v>0.0614444444444445</v>
      </c>
      <c r="D172" s="0" t="n">
        <f aca="false">$B172/D$1</f>
        <v>0.0204814814814815</v>
      </c>
      <c r="E172" s="0" t="n">
        <f aca="false">$B172/E$1</f>
        <v>0.0122888888888889</v>
      </c>
      <c r="F172" s="0" t="n">
        <f aca="false">$B172/F$1</f>
        <v>0.00877777777777778</v>
      </c>
      <c r="G172" s="0" t="n">
        <f aca="false">$B172/G$1</f>
        <v>0.00682716049382716</v>
      </c>
      <c r="H172" s="0" t="n">
        <f aca="false">$B172/H$1</f>
        <v>0.00558585858585859</v>
      </c>
      <c r="I172" s="0" t="n">
        <f aca="false">$B172/I$1</f>
        <v>0.00472649572649573</v>
      </c>
      <c r="J172" s="0" t="n">
        <f aca="false">$B172/J$1</f>
        <v>0.0040962962962963</v>
      </c>
      <c r="K172" s="0" t="n">
        <f aca="false">$B172/K$1</f>
        <v>0.00361437908496732</v>
      </c>
      <c r="L172" s="0" t="n">
        <f aca="false">$B172/L$1</f>
        <v>0.00323391812865497</v>
      </c>
      <c r="M172" s="0" t="n">
        <f aca="false">$B172/M$1</f>
        <v>0.00292592592592593</v>
      </c>
      <c r="N172" s="0" t="n">
        <f aca="false">$B172/N$1</f>
        <v>0.00267149758454106</v>
      </c>
      <c r="O172" s="0" t="n">
        <f aca="false">$B172/O$1</f>
        <v>0.00245777777777778</v>
      </c>
      <c r="P172" s="0" t="n">
        <f aca="false">$B172/P$1</f>
        <v>0.00227572016460905</v>
      </c>
      <c r="Q172" s="0" t="n">
        <f aca="false">$B172/Q$1</f>
        <v>0.00211877394636015</v>
      </c>
      <c r="R172" s="0" t="n">
        <f aca="false">$B172/R$1</f>
        <v>0.0019820788530466</v>
      </c>
      <c r="S172" s="0" t="n">
        <f aca="false">$B172/S$1</f>
        <v>0.00186195286195286</v>
      </c>
      <c r="T172" s="0" t="n">
        <f aca="false">$B172/T$1</f>
        <v>0.00175555555555556</v>
      </c>
      <c r="U172" s="0" t="n">
        <f aca="false">$B172/U$1</f>
        <v>0.00166066066066066</v>
      </c>
      <c r="V172" s="0" t="n">
        <f aca="false">$B172/V$1</f>
        <v>0.00157549857549858</v>
      </c>
      <c r="W172" s="0" t="n">
        <f aca="false">$B172/W$1</f>
        <v>0.00149864498644986</v>
      </c>
      <c r="X172" s="0" t="n">
        <f aca="false">$B172/X$1</f>
        <v>0.00142894056847545</v>
      </c>
      <c r="Y172" s="0" t="n">
        <f aca="false">$B172/Y$1</f>
        <v>0.00136543209876543</v>
      </c>
      <c r="Z172" s="0" t="n">
        <f aca="false">$B172/Z$1</f>
        <v>0.00130732860520095</v>
      </c>
      <c r="AA172" s="0" t="n">
        <f aca="false">$B172/AA$1</f>
        <v>0.00125396825396825</v>
      </c>
      <c r="AB172" s="0" t="n">
        <f aca="false">$B172/AB$1</f>
        <v>0.00120479302832244</v>
      </c>
      <c r="AC172" s="0" t="n">
        <f aca="false">$B172/AC$1</f>
        <v>0.00115932914046122</v>
      </c>
      <c r="AD172" s="0" t="n">
        <f aca="false">$B172/AD$1</f>
        <v>0.00111717171717172</v>
      </c>
      <c r="AE172" s="0" t="n">
        <f aca="false">$B172/AE$1</f>
        <v>0.00107797270955166</v>
      </c>
      <c r="AF172" s="0" t="n">
        <f aca="false">$B172/AF$1</f>
        <v>0.00104143126177024</v>
      </c>
      <c r="AG172" s="0" t="n">
        <f aca="false">$B172/AG$1</f>
        <v>0.00100728597449909</v>
      </c>
      <c r="AH172" s="0" t="n">
        <f aca="false">$B172/AH$1</f>
        <v>0.000975308641975309</v>
      </c>
      <c r="AI172" s="0" t="n">
        <f aca="false">$B172/AI$1</f>
        <v>0.000945299145299145</v>
      </c>
      <c r="AJ172" s="0" t="n">
        <f aca="false">$B172/AJ$1</f>
        <v>0.000917081260364843</v>
      </c>
      <c r="AK172" s="0" t="n">
        <f aca="false">$B172/AK$1</f>
        <v>0.000890499194847021</v>
      </c>
      <c r="AL172" s="0" t="n">
        <f aca="false">$B172/AL$1</f>
        <v>0.000865414710485133</v>
      </c>
      <c r="AM172" s="0" t="n">
        <f aca="false">$B172/AM$1</f>
        <v>0.000841704718417047</v>
      </c>
      <c r="AN172" s="0" t="n">
        <f aca="false">$B172/AN$1</f>
        <v>0.000819259259259259</v>
      </c>
      <c r="AO172" s="0" t="n">
        <f aca="false">$B172/AO$1</f>
        <v>0.000797979797979798</v>
      </c>
      <c r="AP172" s="0" t="n">
        <f aca="false">$B172/AP$1</f>
        <v>0.000777777777777778</v>
      </c>
      <c r="AQ172" s="0" t="n">
        <f aca="false">$B172/AQ$1</f>
        <v>0.000758573388203018</v>
      </c>
      <c r="AR172" s="0" t="n">
        <f aca="false">$B172/AR$1</f>
        <v>0.000740294511378849</v>
      </c>
      <c r="AS172" s="0" t="n">
        <f aca="false">$B172/AS$1</f>
        <v>0.000722875816993464</v>
      </c>
      <c r="AT172" s="0" t="n">
        <f aca="false">$B172/AT$1</f>
        <v>0.000706257982120051</v>
      </c>
      <c r="AU172" s="0" t="n">
        <f aca="false">$B172/AU$1</f>
        <v>0.000690387016229713</v>
      </c>
      <c r="AV172" s="0" t="n">
        <f aca="false">$B172/AV$1</f>
        <v>0.000675213675213675</v>
      </c>
      <c r="AW172" s="0" t="n">
        <f aca="false">$B172/AW$1</f>
        <v>0.000660692951015532</v>
      </c>
      <c r="AX172" s="0" t="n">
        <f aca="false">$B172/AX$1</f>
        <v>0.000646783625730994</v>
      </c>
      <c r="AY172" s="0" t="n">
        <f aca="false">$B172/AY$1</f>
        <v>0.000633447880870561</v>
      </c>
      <c r="AZ172" s="0" t="n">
        <f aca="false">$B172/AZ$1</f>
        <v>0.000620650953984287</v>
      </c>
      <c r="BA172" s="0" t="n">
        <f aca="false">$B172/BA$1</f>
        <v>0.000608360836083608</v>
      </c>
      <c r="BB172" s="0" t="n">
        <f aca="false">$B172/BB$1</f>
        <v>0.000596548004314995</v>
      </c>
      <c r="BC172" s="0" t="n">
        <f aca="false">$B172/BC$1</f>
        <v>0.000585185185185185</v>
      </c>
      <c r="BD172" s="0" t="n">
        <f aca="false">$B172/BD$1</f>
        <v>0.000574247144340602</v>
      </c>
      <c r="BE172" s="0" t="n">
        <f aca="false">$B172/BE$1</f>
        <v>0.000563710499490316</v>
      </c>
      <c r="BF172" s="0" t="n">
        <f aca="false">$B172/BF$1</f>
        <v>0.000553553553553554</v>
      </c>
      <c r="BG172" s="0" t="n">
        <f aca="false">$B172/BG$1</f>
        <v>0.000543756145526057</v>
      </c>
      <c r="BH172" s="0" t="n">
        <f aca="false">$B172/BH$1</f>
        <v>0.000534299516908213</v>
      </c>
      <c r="BI172" s="0" t="n">
        <f aca="false">$B172/BI$1</f>
        <v>0.000525166191832859</v>
      </c>
      <c r="BJ172" s="0" t="n">
        <f aca="false">$B172/BJ$1</f>
        <v>0.000516339869281046</v>
      </c>
      <c r="BL172" s="0" t="n">
        <f aca="false">IF($B$165=1,COUNTIF(C172:BJ172,"&gt;="&amp;$C$165),0)</f>
        <v>7</v>
      </c>
      <c r="BM172" s="0" t="n">
        <f aca="false">IF($B$165=1,IF(OR(BS172&gt;=Settings!$B$5,Settings!$C$20&gt;0),MAX(BL172,Settings!$C$20),0),0)</f>
        <v>7</v>
      </c>
      <c r="BN172" s="0" t="n">
        <f aca="false">IF($B$165=1,IF(OR(BS172&gt;=Settings!$B$5,Settings!$C$20&gt;0),MAX(0,(2*MAX(BL172,Settings!$C$20)+1)*$C$165-BS172),MAX(0,Settings!$B$5-BS172)),"")</f>
        <v>0.000555555555555552</v>
      </c>
      <c r="BO172" s="0" t="n">
        <f aca="false">IF($B$165=1,IF(OR(BS172&gt;=Settings!$B$5,Settings!$C$20&gt;0),IF(BL172&lt;=Settings!$C$20,"Protected by electorates",IF(Settings!$C$20=0,MIN(BS172-(2*BL172-1)*$D$165,BS172-Settings!$B$5),BS172-(2*BL172-1)*$D$165)),""),"")</f>
        <v>0.00776972624798712</v>
      </c>
      <c r="BP172" s="0" t="n">
        <f aca="false">IF($B$165=1,IF(OR(BS172&gt;=Settings!$B$5,Settings!$C$20&gt;0),MAX(0,MIN(1,(BS172/$C$165-(2*MAX(BL172,Settings!$C$20)-1))/2)),MIN(1,BS172/Settings!$B$5)),"")</f>
        <v>0.932795698924731</v>
      </c>
      <c r="BQ172" s="0" t="n">
        <f aca="false">IF(AND($B$165=1,COUNTIF(C172:BJ172,$C$165)&gt;0),1,0)</f>
        <v>0</v>
      </c>
      <c r="BR172" s="0" t="n">
        <f aca="false">IF(AND($B$165=1,COUNTIF(C172:BJ172,$D$165)&gt;0),1,0)</f>
        <v>0</v>
      </c>
      <c r="BS172" s="0" t="n">
        <f aca="false">N(IF(Polls!N24="",Polls!N37,Polls!N24))</f>
        <v>0.0614444444444445</v>
      </c>
      <c r="BT172" s="0" t="str">
        <f aca="false">IF(OR(BS172&gt;=Settings!$B$5,Settings!$C$20&gt;0),"Next seat","Threshold")</f>
        <v>Next seat</v>
      </c>
    </row>
    <row r="174" customFormat="false" ht="15" hidden="false" customHeight="false" outlineLevel="0" collapsed="false">
      <c r="A174" s="41" t="n">
        <f aca="false">Polls!A25</f>
        <v>0</v>
      </c>
      <c r="B174" s="17" t="n">
        <f aca="false">IF(SUM(BS175:BS181)&gt;0,1,0)</f>
        <v>1</v>
      </c>
      <c r="C174" s="17" t="n">
        <f aca="false">IF(B174=1,LARGE(C175:BJ181,Settings!$B$4),0)</f>
        <v>0.00413333333333333</v>
      </c>
      <c r="D174" s="17" t="n">
        <f aca="false">IF(B174=1,LARGE(C175:BJ181,Settings!$B$4+1),0)</f>
        <v>0.00412882447665056</v>
      </c>
      <c r="E174" s="0" t="str">
        <f aca="false">IF(B174=1,IFERROR(INDEX(A175:A181,MATCH(1,BQ175:BQ181,0)),""),"")</f>
        <v>NZF</v>
      </c>
      <c r="F174" s="0" t="str">
        <f aca="false">IF(B174=1,IFERROR(INDEX(A175:A181,MATCH(1,BR175:BR181,0)),""),"")</f>
        <v>NAT</v>
      </c>
      <c r="G174" s="17" t="n">
        <f aca="false">IF(B174=1,SUM(BM175:BM181)+Settings!$B$10,"")</f>
        <v>122</v>
      </c>
    </row>
    <row r="175" customFormat="false" ht="15" hidden="false" customHeight="false" outlineLevel="0" collapsed="false">
      <c r="A175" s="0" t="s">
        <v>41</v>
      </c>
      <c r="B175" s="0" t="n">
        <f aca="false">IF(OR(BS175&gt;=Settings!$B$5,Settings!$C$14&gt;0),BS175,0)</f>
        <v>0.284888888888889</v>
      </c>
      <c r="C175" s="0" t="n">
        <f aca="false">$B175/C$1</f>
        <v>0.284888888888889</v>
      </c>
      <c r="D175" s="0" t="n">
        <f aca="false">$B175/D$1</f>
        <v>0.094962962962963</v>
      </c>
      <c r="E175" s="0" t="n">
        <f aca="false">$B175/E$1</f>
        <v>0.0569777777777778</v>
      </c>
      <c r="F175" s="0" t="n">
        <f aca="false">$B175/F$1</f>
        <v>0.0406984126984127</v>
      </c>
      <c r="G175" s="0" t="n">
        <f aca="false">$B175/G$1</f>
        <v>0.0316543209876543</v>
      </c>
      <c r="H175" s="0" t="n">
        <f aca="false">$B175/H$1</f>
        <v>0.0258989898989899</v>
      </c>
      <c r="I175" s="0" t="n">
        <f aca="false">$B175/I$1</f>
        <v>0.0219145299145299</v>
      </c>
      <c r="J175" s="0" t="n">
        <f aca="false">$B175/J$1</f>
        <v>0.0189925925925926</v>
      </c>
      <c r="K175" s="0" t="n">
        <f aca="false">$B175/K$1</f>
        <v>0.0167581699346405</v>
      </c>
      <c r="L175" s="0" t="n">
        <f aca="false">$B175/L$1</f>
        <v>0.0149941520467836</v>
      </c>
      <c r="M175" s="0" t="n">
        <f aca="false">$B175/M$1</f>
        <v>0.0135661375661376</v>
      </c>
      <c r="N175" s="0" t="n">
        <f aca="false">$B175/N$1</f>
        <v>0.0123864734299517</v>
      </c>
      <c r="O175" s="0" t="n">
        <f aca="false">$B175/O$1</f>
        <v>0.0113955555555556</v>
      </c>
      <c r="P175" s="0" t="n">
        <f aca="false">$B175/P$1</f>
        <v>0.0105514403292181</v>
      </c>
      <c r="Q175" s="0" t="n">
        <f aca="false">$B175/Q$1</f>
        <v>0.00982375478927203</v>
      </c>
      <c r="R175" s="0" t="n">
        <f aca="false">$B175/R$1</f>
        <v>0.0091899641577061</v>
      </c>
      <c r="S175" s="0" t="n">
        <f aca="false">$B175/S$1</f>
        <v>0.00863299663299663</v>
      </c>
      <c r="T175" s="0" t="n">
        <f aca="false">$B175/T$1</f>
        <v>0.00813968253968254</v>
      </c>
      <c r="U175" s="0" t="n">
        <f aca="false">$B175/U$1</f>
        <v>0.0076996996996997</v>
      </c>
      <c r="V175" s="0" t="n">
        <f aca="false">$B175/V$1</f>
        <v>0.00730484330484331</v>
      </c>
      <c r="W175" s="0" t="n">
        <f aca="false">$B175/W$1</f>
        <v>0.00694850948509485</v>
      </c>
      <c r="X175" s="0" t="n">
        <f aca="false">$B175/X$1</f>
        <v>0.00662532299741602</v>
      </c>
      <c r="Y175" s="0" t="n">
        <f aca="false">$B175/Y$1</f>
        <v>0.00633086419753086</v>
      </c>
      <c r="Z175" s="0" t="n">
        <f aca="false">$B175/Z$1</f>
        <v>0.00606146572104019</v>
      </c>
      <c r="AA175" s="0" t="n">
        <f aca="false">$B175/AA$1</f>
        <v>0.0058140589569161</v>
      </c>
      <c r="AB175" s="0" t="n">
        <f aca="false">$B175/AB$1</f>
        <v>0.00558605664488018</v>
      </c>
      <c r="AC175" s="0" t="n">
        <f aca="false">$B175/AC$1</f>
        <v>0.00537526205450734</v>
      </c>
      <c r="AD175" s="0" t="n">
        <f aca="false">$B175/AD$1</f>
        <v>0.00517979797979798</v>
      </c>
      <c r="AE175" s="0" t="n">
        <f aca="false">$B175/AE$1</f>
        <v>0.00499805068226121</v>
      </c>
      <c r="AF175" s="0" t="n">
        <f aca="false">$B175/AF$1</f>
        <v>0.0048286252354049</v>
      </c>
      <c r="AG175" s="0" t="n">
        <f aca="false">$B175/AG$1</f>
        <v>0.00467030965391621</v>
      </c>
      <c r="AH175" s="0" t="n">
        <f aca="false">$B175/AH$1</f>
        <v>0.00452204585537919</v>
      </c>
      <c r="AI175" s="0" t="n">
        <f aca="false">$B175/AI$1</f>
        <v>0.00438290598290598</v>
      </c>
      <c r="AJ175" s="0" t="n">
        <f aca="false">$B175/AJ$1</f>
        <v>0.00425207296849088</v>
      </c>
      <c r="AK175" s="0" t="n">
        <f aca="false">$B175/AK$1</f>
        <v>0.00412882447665056</v>
      </c>
      <c r="AL175" s="0" t="n">
        <f aca="false">$B175/AL$1</f>
        <v>0.00401251956181534</v>
      </c>
      <c r="AM175" s="0" t="n">
        <f aca="false">$B175/AM$1</f>
        <v>0.00390258751902588</v>
      </c>
      <c r="AN175" s="0" t="n">
        <f aca="false">$B175/AN$1</f>
        <v>0.00379851851851852</v>
      </c>
      <c r="AO175" s="0" t="n">
        <f aca="false">$B175/AO$1</f>
        <v>0.0036998556998557</v>
      </c>
      <c r="AP175" s="0" t="n">
        <f aca="false">$B175/AP$1</f>
        <v>0.00360618846694796</v>
      </c>
      <c r="AQ175" s="0" t="n">
        <f aca="false">$B175/AQ$1</f>
        <v>0.00351714677640604</v>
      </c>
      <c r="AR175" s="0" t="n">
        <f aca="false">$B175/AR$1</f>
        <v>0.00343239625167336</v>
      </c>
      <c r="AS175" s="0" t="n">
        <f aca="false">$B175/AS$1</f>
        <v>0.00335163398692811</v>
      </c>
      <c r="AT175" s="0" t="n">
        <f aca="false">$B175/AT$1</f>
        <v>0.00327458492975734</v>
      </c>
      <c r="AU175" s="0" t="n">
        <f aca="false">$B175/AU$1</f>
        <v>0.00320099875156055</v>
      </c>
      <c r="AV175" s="0" t="n">
        <f aca="false">$B175/AV$1</f>
        <v>0.00313064713064713</v>
      </c>
      <c r="AW175" s="0" t="n">
        <f aca="false">$B175/AW$1</f>
        <v>0.00306332138590203</v>
      </c>
      <c r="AX175" s="0" t="n">
        <f aca="false">$B175/AX$1</f>
        <v>0.00299883040935673</v>
      </c>
      <c r="AY175" s="0" t="n">
        <f aca="false">$B175/AY$1</f>
        <v>0.00293699885452463</v>
      </c>
      <c r="AZ175" s="0" t="n">
        <f aca="false">$B175/AZ$1</f>
        <v>0.00287766554433221</v>
      </c>
      <c r="BA175" s="0" t="n">
        <f aca="false">$B175/BA$1</f>
        <v>0.00282068206820682</v>
      </c>
      <c r="BB175" s="0" t="n">
        <f aca="false">$B175/BB$1</f>
        <v>0.00276591154261057</v>
      </c>
      <c r="BC175" s="0" t="n">
        <f aca="false">$B175/BC$1</f>
        <v>0.00271322751322751</v>
      </c>
      <c r="BD175" s="0" t="n">
        <f aca="false">$B175/BD$1</f>
        <v>0.00266251298026999</v>
      </c>
      <c r="BE175" s="0" t="n">
        <f aca="false">$B175/BE$1</f>
        <v>0.00261365953109072</v>
      </c>
      <c r="BF175" s="0" t="n">
        <f aca="false">$B175/BF$1</f>
        <v>0.00256656656656657</v>
      </c>
      <c r="BG175" s="0" t="n">
        <f aca="false">$B175/BG$1</f>
        <v>0.00252114060963619</v>
      </c>
      <c r="BH175" s="0" t="n">
        <f aca="false">$B175/BH$1</f>
        <v>0.00247729468599034</v>
      </c>
      <c r="BI175" s="0" t="n">
        <f aca="false">$B175/BI$1</f>
        <v>0.0024349477682811</v>
      </c>
      <c r="BJ175" s="0" t="n">
        <f aca="false">$B175/BJ$1</f>
        <v>0.00239402427637722</v>
      </c>
      <c r="BL175" s="0" t="n">
        <f aca="false">IF($B$174=1,COUNTIF(C175:BJ175,"&gt;="&amp;$C$174),0)</f>
        <v>34</v>
      </c>
      <c r="BM175" s="0" t="n">
        <f aca="false">IF($B$174=1,IF(OR(BS175&gt;=Settings!$B$5,Settings!$C$14&gt;0),MAX(BL175,Settings!$C$14),0),0)</f>
        <v>34</v>
      </c>
      <c r="BN175" s="0" t="n">
        <f aca="false">IF($B$174=1,IF(OR(BS175&gt;=Settings!$B$5,Settings!$C$14&gt;0),MAX(0,(2*MAX(BL175,Settings!$C$14)+1)*$C$174-BS175),MAX(0,Settings!$B$5-BS175)),"")</f>
        <v>0.000311111111111095</v>
      </c>
      <c r="BO175" s="0" t="n">
        <f aca="false">IF($B$174=1,IF(OR(BS175&gt;=Settings!$B$5,Settings!$C$14&gt;0),IF(BL175&lt;=Settings!$C$14,"Protected by electorates",IF(Settings!$C$14=0,MIN(BS175-(2*BL175-1)*$D$174,BS175-Settings!$B$5),BS175-(2*BL175-1)*$D$174)),""),"")</f>
        <v>0.00825764895330111</v>
      </c>
      <c r="BP175" s="0" t="n">
        <f aca="false">IF($B$174=1,IF(OR(BS175&gt;=Settings!$B$5,Settings!$C$14&gt;0),MAX(0,MIN(1,(BS175/$C$174-(2*MAX(BL175,Settings!$C$14)-1))/2)),MIN(1,BS175/Settings!$B$5)),"")</f>
        <v>0.962365591397848</v>
      </c>
      <c r="BQ175" s="0" t="n">
        <f aca="false">IF(AND($B$174=1,COUNTIF(C175:BJ175,$C$174)&gt;0),1,0)</f>
        <v>0</v>
      </c>
      <c r="BR175" s="0" t="n">
        <f aca="false">IF(AND($B$174=1,COUNTIF(C175:BJ175,$D$174)&gt;0),1,0)</f>
        <v>1</v>
      </c>
      <c r="BS175" s="0" t="n">
        <f aca="false">N(IF(Polls!H25="",Polls!H37,Polls!H25))</f>
        <v>0.284888888888889</v>
      </c>
      <c r="BT175" s="0" t="str">
        <f aca="false">IF(OR(BS175&gt;=Settings!$B$5,Settings!$C$14&gt;0),"Next seat","Threshold")</f>
        <v>Next seat</v>
      </c>
    </row>
    <row r="176" customFormat="false" ht="15" hidden="false" customHeight="false" outlineLevel="0" collapsed="false">
      <c r="A176" s="0" t="s">
        <v>43</v>
      </c>
      <c r="B176" s="0" t="n">
        <f aca="false">IF(OR(BS176&gt;=Settings!$B$5,Settings!$C$15&gt;0),BS176,0)</f>
        <v>0.279333333333333</v>
      </c>
      <c r="C176" s="0" t="n">
        <f aca="false">$B176/C$1</f>
        <v>0.279333333333333</v>
      </c>
      <c r="D176" s="0" t="n">
        <f aca="false">$B176/D$1</f>
        <v>0.0931111111111111</v>
      </c>
      <c r="E176" s="0" t="n">
        <f aca="false">$B176/E$1</f>
        <v>0.0558666666666667</v>
      </c>
      <c r="F176" s="0" t="n">
        <f aca="false">$B176/F$1</f>
        <v>0.0399047619047619</v>
      </c>
      <c r="G176" s="0" t="n">
        <f aca="false">$B176/G$1</f>
        <v>0.031037037037037</v>
      </c>
      <c r="H176" s="0" t="n">
        <f aca="false">$B176/H$1</f>
        <v>0.0253939393939394</v>
      </c>
      <c r="I176" s="0" t="n">
        <f aca="false">$B176/I$1</f>
        <v>0.0214871794871795</v>
      </c>
      <c r="J176" s="0" t="n">
        <f aca="false">$B176/J$1</f>
        <v>0.0186222222222222</v>
      </c>
      <c r="K176" s="0" t="n">
        <f aca="false">$B176/K$1</f>
        <v>0.0164313725490196</v>
      </c>
      <c r="L176" s="0" t="n">
        <f aca="false">$B176/L$1</f>
        <v>0.0147017543859649</v>
      </c>
      <c r="M176" s="0" t="n">
        <f aca="false">$B176/M$1</f>
        <v>0.0133015873015873</v>
      </c>
      <c r="N176" s="0" t="n">
        <f aca="false">$B176/N$1</f>
        <v>0.0121449275362319</v>
      </c>
      <c r="O176" s="0" t="n">
        <f aca="false">$B176/O$1</f>
        <v>0.0111733333333333</v>
      </c>
      <c r="P176" s="0" t="n">
        <f aca="false">$B176/P$1</f>
        <v>0.0103456790123457</v>
      </c>
      <c r="Q176" s="0" t="n">
        <f aca="false">$B176/Q$1</f>
        <v>0.00963218390804598</v>
      </c>
      <c r="R176" s="0" t="n">
        <f aca="false">$B176/R$1</f>
        <v>0.00901075268817204</v>
      </c>
      <c r="S176" s="0" t="n">
        <f aca="false">$B176/S$1</f>
        <v>0.00846464646464647</v>
      </c>
      <c r="T176" s="0" t="n">
        <f aca="false">$B176/T$1</f>
        <v>0.00798095238095238</v>
      </c>
      <c r="U176" s="0" t="n">
        <f aca="false">$B176/U$1</f>
        <v>0.00754954954954955</v>
      </c>
      <c r="V176" s="0" t="n">
        <f aca="false">$B176/V$1</f>
        <v>0.00716239316239316</v>
      </c>
      <c r="W176" s="0" t="n">
        <f aca="false">$B176/W$1</f>
        <v>0.0068130081300813</v>
      </c>
      <c r="X176" s="0" t="n">
        <f aca="false">$B176/X$1</f>
        <v>0.00649612403100775</v>
      </c>
      <c r="Y176" s="0" t="n">
        <f aca="false">$B176/Y$1</f>
        <v>0.00620740740740741</v>
      </c>
      <c r="Z176" s="0" t="n">
        <f aca="false">$B176/Z$1</f>
        <v>0.00594326241134752</v>
      </c>
      <c r="AA176" s="0" t="n">
        <f aca="false">$B176/AA$1</f>
        <v>0.00570068027210885</v>
      </c>
      <c r="AB176" s="0" t="n">
        <f aca="false">$B176/AB$1</f>
        <v>0.00547712418300654</v>
      </c>
      <c r="AC176" s="0" t="n">
        <f aca="false">$B176/AC$1</f>
        <v>0.00527044025157233</v>
      </c>
      <c r="AD176" s="0" t="n">
        <f aca="false">$B176/AD$1</f>
        <v>0.00507878787878788</v>
      </c>
      <c r="AE176" s="0" t="n">
        <f aca="false">$B176/AE$1</f>
        <v>0.00490058479532164</v>
      </c>
      <c r="AF176" s="0" t="n">
        <f aca="false">$B176/AF$1</f>
        <v>0.00473446327683616</v>
      </c>
      <c r="AG176" s="0" t="n">
        <f aca="false">$B176/AG$1</f>
        <v>0.0045792349726776</v>
      </c>
      <c r="AH176" s="0" t="n">
        <f aca="false">$B176/AH$1</f>
        <v>0.00443386243386244</v>
      </c>
      <c r="AI176" s="0" t="n">
        <f aca="false">$B176/AI$1</f>
        <v>0.0042974358974359</v>
      </c>
      <c r="AJ176" s="0" t="n">
        <f aca="false">$B176/AJ$1</f>
        <v>0.00416915422885572</v>
      </c>
      <c r="AK176" s="0" t="n">
        <f aca="false">$B176/AK$1</f>
        <v>0.00404830917874396</v>
      </c>
      <c r="AL176" s="0" t="n">
        <f aca="false">$B176/AL$1</f>
        <v>0.00393427230046948</v>
      </c>
      <c r="AM176" s="0" t="n">
        <f aca="false">$B176/AM$1</f>
        <v>0.00382648401826484</v>
      </c>
      <c r="AN176" s="0" t="n">
        <f aca="false">$B176/AN$1</f>
        <v>0.00372444444444445</v>
      </c>
      <c r="AO176" s="0" t="n">
        <f aca="false">$B176/AO$1</f>
        <v>0.00362770562770563</v>
      </c>
      <c r="AP176" s="0" t="n">
        <f aca="false">$B176/AP$1</f>
        <v>0.00353586497890295</v>
      </c>
      <c r="AQ176" s="0" t="n">
        <f aca="false">$B176/AQ$1</f>
        <v>0.00344855967078189</v>
      </c>
      <c r="AR176" s="0" t="n">
        <f aca="false">$B176/AR$1</f>
        <v>0.00336546184738956</v>
      </c>
      <c r="AS176" s="0" t="n">
        <f aca="false">$B176/AS$1</f>
        <v>0.00328627450980392</v>
      </c>
      <c r="AT176" s="0" t="n">
        <f aca="false">$B176/AT$1</f>
        <v>0.00321072796934866</v>
      </c>
      <c r="AU176" s="0" t="n">
        <f aca="false">$B176/AU$1</f>
        <v>0.00313857677902622</v>
      </c>
      <c r="AV176" s="0" t="n">
        <f aca="false">$B176/AV$1</f>
        <v>0.00306959706959707</v>
      </c>
      <c r="AW176" s="0" t="n">
        <f aca="false">$B176/AW$1</f>
        <v>0.00300358422939068</v>
      </c>
      <c r="AX176" s="0" t="n">
        <f aca="false">$B176/AX$1</f>
        <v>0.00294035087719298</v>
      </c>
      <c r="AY176" s="0" t="n">
        <f aca="false">$B176/AY$1</f>
        <v>0.00287972508591065</v>
      </c>
      <c r="AZ176" s="0" t="n">
        <f aca="false">$B176/AZ$1</f>
        <v>0.00282154882154882</v>
      </c>
      <c r="BA176" s="0" t="n">
        <f aca="false">$B176/BA$1</f>
        <v>0.00276567656765677</v>
      </c>
      <c r="BB176" s="0" t="n">
        <f aca="false">$B176/BB$1</f>
        <v>0.00271197411003236</v>
      </c>
      <c r="BC176" s="0" t="n">
        <f aca="false">$B176/BC$1</f>
        <v>0.00266031746031746</v>
      </c>
      <c r="BD176" s="0" t="n">
        <f aca="false">$B176/BD$1</f>
        <v>0.00261059190031153</v>
      </c>
      <c r="BE176" s="0" t="n">
        <f aca="false">$B176/BE$1</f>
        <v>0.00256269113149847</v>
      </c>
      <c r="BF176" s="0" t="n">
        <f aca="false">$B176/BF$1</f>
        <v>0.00251651651651652</v>
      </c>
      <c r="BG176" s="0" t="n">
        <f aca="false">$B176/BG$1</f>
        <v>0.00247197640117994</v>
      </c>
      <c r="BH176" s="0" t="n">
        <f aca="false">$B176/BH$1</f>
        <v>0.00242898550724638</v>
      </c>
      <c r="BI176" s="0" t="n">
        <f aca="false">$B176/BI$1</f>
        <v>0.00238746438746439</v>
      </c>
      <c r="BJ176" s="0" t="n">
        <f aca="false">$B176/BJ$1</f>
        <v>0.00234733893557423</v>
      </c>
      <c r="BL176" s="0" t="n">
        <f aca="false">IF($B$174=1,COUNTIF(C176:BJ176,"&gt;="&amp;$C$174),0)</f>
        <v>34</v>
      </c>
      <c r="BM176" s="0" t="n">
        <f aca="false">IF($B$174=1,IF(OR(BS176&gt;=Settings!$B$5,Settings!$C$15&gt;0),MAX(BL176,Settings!$C$15),0),0)</f>
        <v>34</v>
      </c>
      <c r="BN176" s="0" t="n">
        <f aca="false">IF($B$174=1,IF(OR(BS176&gt;=Settings!$B$5,Settings!$C$15&gt;0),MAX(0,(2*MAX(BL176,Settings!$C$15)+1)*$C$174-BS176),MAX(0,Settings!$B$5-BS176)),"")</f>
        <v>0.00586666666666663</v>
      </c>
      <c r="BO176" s="0" t="n">
        <f aca="false">IF($B$174=1,IF(OR(BS176&gt;=Settings!$B$5,Settings!$C$15&gt;0),IF(BL176&lt;=Settings!$C$15,"Protected by electorates",IF(Settings!$C$15=0,MIN(BS176-(2*BL176-1)*$D$174,BS176-Settings!$B$5),BS176-(2*BL176-1)*$D$174)),""),"")</f>
        <v>0.00270209339774558</v>
      </c>
      <c r="BP176" s="0" t="n">
        <f aca="false">IF($B$174=1,IF(OR(BS176&gt;=Settings!$B$5,Settings!$C$15&gt;0),MAX(0,MIN(1,(BS176/$C$174-(2*MAX(BL176,Settings!$C$15)-1))/2)),MIN(1,BS176/Settings!$B$5)),"")</f>
        <v>0.290322580645167</v>
      </c>
      <c r="BQ176" s="0" t="n">
        <f aca="false">IF(AND($B$174=1,COUNTIF(C176:BJ176,$C$174)&gt;0),1,0)</f>
        <v>0</v>
      </c>
      <c r="BR176" s="0" t="n">
        <f aca="false">IF(AND($B$174=1,COUNTIF(C176:BJ176,$D$174)&gt;0),1,0)</f>
        <v>0</v>
      </c>
      <c r="BS176" s="0" t="n">
        <f aca="false">N(IF(Polls!I25="",Polls!I37,Polls!I25))</f>
        <v>0.279333333333333</v>
      </c>
      <c r="BT176" s="0" t="str">
        <f aca="false">IF(OR(BS176&gt;=Settings!$B$5,Settings!$C$15&gt;0),"Next seat","Threshold")</f>
        <v>Next seat</v>
      </c>
    </row>
    <row r="177" customFormat="false" ht="15" hidden="false" customHeight="false" outlineLevel="0" collapsed="false">
      <c r="A177" s="0" t="s">
        <v>45</v>
      </c>
      <c r="B177" s="0" t="n">
        <f aca="false">IF(OR(BS177&gt;=Settings!$B$5,Settings!$C$16&gt;0),BS177,0)</f>
        <v>0.145555555555556</v>
      </c>
      <c r="C177" s="0" t="n">
        <f aca="false">$B177/C$1</f>
        <v>0.145555555555556</v>
      </c>
      <c r="D177" s="0" t="n">
        <f aca="false">$B177/D$1</f>
        <v>0.0485185185185185</v>
      </c>
      <c r="E177" s="0" t="n">
        <f aca="false">$B177/E$1</f>
        <v>0.0291111111111111</v>
      </c>
      <c r="F177" s="0" t="n">
        <f aca="false">$B177/F$1</f>
        <v>0.0207936507936508</v>
      </c>
      <c r="G177" s="0" t="n">
        <f aca="false">$B177/G$1</f>
        <v>0.0161728395061728</v>
      </c>
      <c r="H177" s="0" t="n">
        <f aca="false">$B177/H$1</f>
        <v>0.0132323232323232</v>
      </c>
      <c r="I177" s="0" t="n">
        <f aca="false">$B177/I$1</f>
        <v>0.0111965811965812</v>
      </c>
      <c r="J177" s="0" t="n">
        <f aca="false">$B177/J$1</f>
        <v>0.0097037037037037</v>
      </c>
      <c r="K177" s="0" t="n">
        <f aca="false">$B177/K$1</f>
        <v>0.00856209150326797</v>
      </c>
      <c r="L177" s="0" t="n">
        <f aca="false">$B177/L$1</f>
        <v>0.00766081871345029</v>
      </c>
      <c r="M177" s="0" t="n">
        <f aca="false">$B177/M$1</f>
        <v>0.00693121693121693</v>
      </c>
      <c r="N177" s="0" t="n">
        <f aca="false">$B177/N$1</f>
        <v>0.00632850241545894</v>
      </c>
      <c r="O177" s="0" t="n">
        <f aca="false">$B177/O$1</f>
        <v>0.00582222222222222</v>
      </c>
      <c r="P177" s="0" t="n">
        <f aca="false">$B177/P$1</f>
        <v>0.00539094650205761</v>
      </c>
      <c r="Q177" s="0" t="n">
        <f aca="false">$B177/Q$1</f>
        <v>0.00501915708812261</v>
      </c>
      <c r="R177" s="0" t="n">
        <f aca="false">$B177/R$1</f>
        <v>0.00469534050179212</v>
      </c>
      <c r="S177" s="0" t="n">
        <f aca="false">$B177/S$1</f>
        <v>0.00441077441077441</v>
      </c>
      <c r="T177" s="0" t="n">
        <f aca="false">$B177/T$1</f>
        <v>0.00415873015873016</v>
      </c>
      <c r="U177" s="0" t="n">
        <f aca="false">$B177/U$1</f>
        <v>0.00393393393393393</v>
      </c>
      <c r="V177" s="0" t="n">
        <f aca="false">$B177/V$1</f>
        <v>0.00373219373219373</v>
      </c>
      <c r="W177" s="0" t="n">
        <f aca="false">$B177/W$1</f>
        <v>0.00355013550135501</v>
      </c>
      <c r="X177" s="0" t="n">
        <f aca="false">$B177/X$1</f>
        <v>0.00338501291989664</v>
      </c>
      <c r="Y177" s="0" t="n">
        <f aca="false">$B177/Y$1</f>
        <v>0.00323456790123457</v>
      </c>
      <c r="Z177" s="0" t="n">
        <f aca="false">$B177/Z$1</f>
        <v>0.00309692671394799</v>
      </c>
      <c r="AA177" s="0" t="n">
        <f aca="false">$B177/AA$1</f>
        <v>0.00297052154195011</v>
      </c>
      <c r="AB177" s="0" t="n">
        <f aca="false">$B177/AB$1</f>
        <v>0.00285403050108932</v>
      </c>
      <c r="AC177" s="0" t="n">
        <f aca="false">$B177/AC$1</f>
        <v>0.00274633123689727</v>
      </c>
      <c r="AD177" s="0" t="n">
        <f aca="false">$B177/AD$1</f>
        <v>0.00264646464646465</v>
      </c>
      <c r="AE177" s="0" t="n">
        <f aca="false">$B177/AE$1</f>
        <v>0.00255360623781676</v>
      </c>
      <c r="AF177" s="0" t="n">
        <f aca="false">$B177/AF$1</f>
        <v>0.00246704331450094</v>
      </c>
      <c r="AG177" s="0" t="n">
        <f aca="false">$B177/AG$1</f>
        <v>0.00238615664845173</v>
      </c>
      <c r="AH177" s="0" t="n">
        <f aca="false">$B177/AH$1</f>
        <v>0.00231040564373898</v>
      </c>
      <c r="AI177" s="0" t="n">
        <f aca="false">$B177/AI$1</f>
        <v>0.00223931623931624</v>
      </c>
      <c r="AJ177" s="0" t="n">
        <f aca="false">$B177/AJ$1</f>
        <v>0.00217247097844113</v>
      </c>
      <c r="AK177" s="0" t="n">
        <f aca="false">$B177/AK$1</f>
        <v>0.00210950080515298</v>
      </c>
      <c r="AL177" s="0" t="n">
        <f aca="false">$B177/AL$1</f>
        <v>0.00205007824726135</v>
      </c>
      <c r="AM177" s="0" t="n">
        <f aca="false">$B177/AM$1</f>
        <v>0.00199391171993912</v>
      </c>
      <c r="AN177" s="0" t="n">
        <f aca="false">$B177/AN$1</f>
        <v>0.00194074074074074</v>
      </c>
      <c r="AO177" s="0" t="n">
        <f aca="false">$B177/AO$1</f>
        <v>0.00189033189033189</v>
      </c>
      <c r="AP177" s="0" t="n">
        <f aca="false">$B177/AP$1</f>
        <v>0.00184247538677918</v>
      </c>
      <c r="AQ177" s="0" t="n">
        <f aca="false">$B177/AQ$1</f>
        <v>0.00179698216735254</v>
      </c>
      <c r="AR177" s="0" t="n">
        <f aca="false">$B177/AR$1</f>
        <v>0.00175368139223561</v>
      </c>
      <c r="AS177" s="0" t="n">
        <f aca="false">$B177/AS$1</f>
        <v>0.00171241830065359</v>
      </c>
      <c r="AT177" s="0" t="n">
        <f aca="false">$B177/AT$1</f>
        <v>0.00167305236270754</v>
      </c>
      <c r="AU177" s="0" t="n">
        <f aca="false">$B177/AU$1</f>
        <v>0.0016354556803995</v>
      </c>
      <c r="AV177" s="0" t="n">
        <f aca="false">$B177/AV$1</f>
        <v>0.0015995115995116</v>
      </c>
      <c r="AW177" s="0" t="n">
        <f aca="false">$B177/AW$1</f>
        <v>0.00156511350059737</v>
      </c>
      <c r="AX177" s="0" t="n">
        <f aca="false">$B177/AX$1</f>
        <v>0.00153216374269006</v>
      </c>
      <c r="AY177" s="0" t="n">
        <f aca="false">$B177/AY$1</f>
        <v>0.00150057273768614</v>
      </c>
      <c r="AZ177" s="0" t="n">
        <f aca="false">$B177/AZ$1</f>
        <v>0.0014702581369248</v>
      </c>
      <c r="BA177" s="0" t="n">
        <f aca="false">$B177/BA$1</f>
        <v>0.00144114411441144</v>
      </c>
      <c r="BB177" s="0" t="n">
        <f aca="false">$B177/BB$1</f>
        <v>0.00141316073354908</v>
      </c>
      <c r="BC177" s="0" t="n">
        <f aca="false">$B177/BC$1</f>
        <v>0.00138624338624339</v>
      </c>
      <c r="BD177" s="0" t="n">
        <f aca="false">$B177/BD$1</f>
        <v>0.00136033229491173</v>
      </c>
      <c r="BE177" s="0" t="n">
        <f aca="false">$B177/BE$1</f>
        <v>0.00133537206931702</v>
      </c>
      <c r="BF177" s="0" t="n">
        <f aca="false">$B177/BF$1</f>
        <v>0.00131131131131131</v>
      </c>
      <c r="BG177" s="0" t="n">
        <f aca="false">$B177/BG$1</f>
        <v>0.00128810226155359</v>
      </c>
      <c r="BH177" s="0" t="n">
        <f aca="false">$B177/BH$1</f>
        <v>0.00126570048309179</v>
      </c>
      <c r="BI177" s="0" t="n">
        <f aca="false">$B177/BI$1</f>
        <v>0.00124406457739791</v>
      </c>
      <c r="BJ177" s="0" t="n">
        <f aca="false">$B177/BJ$1</f>
        <v>0.00122315592903828</v>
      </c>
      <c r="BL177" s="0" t="n">
        <f aca="false">IF($B$174=1,COUNTIF(C177:BJ177,"&gt;="&amp;$C$174),0)</f>
        <v>18</v>
      </c>
      <c r="BM177" s="0" t="n">
        <f aca="false">IF($B$174=1,IF(OR(BS177&gt;=Settings!$B$5,Settings!$C$16&gt;0),MAX(BL177,Settings!$C$16),0),0)</f>
        <v>18</v>
      </c>
      <c r="BN177" s="0" t="n">
        <f aca="false">IF($B$174=1,IF(OR(BS177&gt;=Settings!$B$5,Settings!$C$16&gt;0),MAX(0,(2*MAX(BL177,Settings!$C$16)+1)*$C$174-BS177),MAX(0,Settings!$B$5-BS177)),"")</f>
        <v>0.00737777777777779</v>
      </c>
      <c r="BO177" s="0" t="n">
        <f aca="false">IF($B$174=1,IF(OR(BS177&gt;=Settings!$B$5,Settings!$C$16&gt;0),IF(BL177&lt;=Settings!$C$16,"Protected by electorates",IF(Settings!$C$16=0,MIN(BS177-(2*BL177-1)*$D$174,BS177-Settings!$B$5),BS177-(2*BL177-1)*$D$174)),""),"")</f>
        <v>0.0010466988727858</v>
      </c>
      <c r="BP177" s="0" t="n">
        <f aca="false">IF($B$174=1,IF(OR(BS177&gt;=Settings!$B$5,Settings!$C$16&gt;0),MAX(0,MIN(1,(BS177/$C$174-(2*MAX(BL177,Settings!$C$16)-1))/2)),MIN(1,BS177/Settings!$B$5)),"")</f>
        <v>0.107526881720428</v>
      </c>
      <c r="BQ177" s="0" t="n">
        <f aca="false">IF(AND($B$174=1,COUNTIF(C177:BJ177,$C$174)&gt;0),1,0)</f>
        <v>0</v>
      </c>
      <c r="BR177" s="0" t="n">
        <f aca="false">IF(AND($B$174=1,COUNTIF(C177:BJ177,$D$174)&gt;0),1,0)</f>
        <v>0</v>
      </c>
      <c r="BS177" s="0" t="n">
        <f aca="false">N(IF(Polls!J25="",Polls!J37,Polls!J25))</f>
        <v>0.145555555555556</v>
      </c>
      <c r="BT177" s="0" t="str">
        <f aca="false">IF(OR(BS177&gt;=Settings!$B$5,Settings!$C$16&gt;0),"Next seat","Threshold")</f>
        <v>Next seat</v>
      </c>
    </row>
    <row r="178" customFormat="false" ht="15" hidden="false" customHeight="false" outlineLevel="0" collapsed="false">
      <c r="A178" s="0" t="s">
        <v>46</v>
      </c>
      <c r="B178" s="0" t="n">
        <f aca="false">IF(OR(BS178&gt;=Settings!$B$5,Settings!$C$17&gt;0),BS178,0)</f>
        <v>0.0963333333333333</v>
      </c>
      <c r="C178" s="0" t="n">
        <f aca="false">$B178/C$1</f>
        <v>0.0963333333333333</v>
      </c>
      <c r="D178" s="0" t="n">
        <f aca="false">$B178/D$1</f>
        <v>0.0321111111111111</v>
      </c>
      <c r="E178" s="0" t="n">
        <f aca="false">$B178/E$1</f>
        <v>0.0192666666666667</v>
      </c>
      <c r="F178" s="0" t="n">
        <f aca="false">$B178/F$1</f>
        <v>0.0137619047619048</v>
      </c>
      <c r="G178" s="0" t="n">
        <f aca="false">$B178/G$1</f>
        <v>0.0107037037037037</v>
      </c>
      <c r="H178" s="0" t="n">
        <f aca="false">$B178/H$1</f>
        <v>0.00875757575757576</v>
      </c>
      <c r="I178" s="0" t="n">
        <f aca="false">$B178/I$1</f>
        <v>0.00741025641025641</v>
      </c>
      <c r="J178" s="0" t="n">
        <f aca="false">$B178/J$1</f>
        <v>0.00642222222222222</v>
      </c>
      <c r="K178" s="0" t="n">
        <f aca="false">$B178/K$1</f>
        <v>0.00566666666666667</v>
      </c>
      <c r="L178" s="0" t="n">
        <f aca="false">$B178/L$1</f>
        <v>0.00507017543859649</v>
      </c>
      <c r="M178" s="0" t="n">
        <f aca="false">$B178/M$1</f>
        <v>0.00458730158730159</v>
      </c>
      <c r="N178" s="0" t="n">
        <f aca="false">$B178/N$1</f>
        <v>0.00418840579710145</v>
      </c>
      <c r="O178" s="0" t="n">
        <f aca="false">$B178/O$1</f>
        <v>0.00385333333333333</v>
      </c>
      <c r="P178" s="0" t="n">
        <f aca="false">$B178/P$1</f>
        <v>0.0035679012345679</v>
      </c>
      <c r="Q178" s="0" t="n">
        <f aca="false">$B178/Q$1</f>
        <v>0.00332183908045977</v>
      </c>
      <c r="R178" s="0" t="n">
        <f aca="false">$B178/R$1</f>
        <v>0.00310752688172043</v>
      </c>
      <c r="S178" s="0" t="n">
        <f aca="false">$B178/S$1</f>
        <v>0.00291919191919192</v>
      </c>
      <c r="T178" s="0" t="n">
        <f aca="false">$B178/T$1</f>
        <v>0.00275238095238095</v>
      </c>
      <c r="U178" s="0" t="n">
        <f aca="false">$B178/U$1</f>
        <v>0.0026036036036036</v>
      </c>
      <c r="V178" s="0" t="n">
        <f aca="false">$B178/V$1</f>
        <v>0.00247008547008547</v>
      </c>
      <c r="W178" s="0" t="n">
        <f aca="false">$B178/W$1</f>
        <v>0.00234959349593496</v>
      </c>
      <c r="X178" s="0" t="n">
        <f aca="false">$B178/X$1</f>
        <v>0.00224031007751938</v>
      </c>
      <c r="Y178" s="0" t="n">
        <f aca="false">$B178/Y$1</f>
        <v>0.00214074074074074</v>
      </c>
      <c r="Z178" s="0" t="n">
        <f aca="false">$B178/Z$1</f>
        <v>0.00204964539007092</v>
      </c>
      <c r="AA178" s="0" t="n">
        <f aca="false">$B178/AA$1</f>
        <v>0.00196598639455782</v>
      </c>
      <c r="AB178" s="0" t="n">
        <f aca="false">$B178/AB$1</f>
        <v>0.00188888888888889</v>
      </c>
      <c r="AC178" s="0" t="n">
        <f aca="false">$B178/AC$1</f>
        <v>0.00181761006289308</v>
      </c>
      <c r="AD178" s="0" t="n">
        <f aca="false">$B178/AD$1</f>
        <v>0.00175151515151515</v>
      </c>
      <c r="AE178" s="0" t="n">
        <f aca="false">$B178/AE$1</f>
        <v>0.00169005847953216</v>
      </c>
      <c r="AF178" s="0" t="n">
        <f aca="false">$B178/AF$1</f>
        <v>0.00163276836158192</v>
      </c>
      <c r="AG178" s="0" t="n">
        <f aca="false">$B178/AG$1</f>
        <v>0.0015792349726776</v>
      </c>
      <c r="AH178" s="0" t="n">
        <f aca="false">$B178/AH$1</f>
        <v>0.00152910052910053</v>
      </c>
      <c r="AI178" s="0" t="n">
        <f aca="false">$B178/AI$1</f>
        <v>0.00148205128205128</v>
      </c>
      <c r="AJ178" s="0" t="n">
        <f aca="false">$B178/AJ$1</f>
        <v>0.00143781094527363</v>
      </c>
      <c r="AK178" s="0" t="n">
        <f aca="false">$B178/AK$1</f>
        <v>0.00139613526570048</v>
      </c>
      <c r="AL178" s="0" t="n">
        <f aca="false">$B178/AL$1</f>
        <v>0.00135680751173709</v>
      </c>
      <c r="AM178" s="0" t="n">
        <f aca="false">$B178/AM$1</f>
        <v>0.00131963470319635</v>
      </c>
      <c r="AN178" s="0" t="n">
        <f aca="false">$B178/AN$1</f>
        <v>0.00128444444444444</v>
      </c>
      <c r="AO178" s="0" t="n">
        <f aca="false">$B178/AO$1</f>
        <v>0.00125108225108225</v>
      </c>
      <c r="AP178" s="0" t="n">
        <f aca="false">$B178/AP$1</f>
        <v>0.00121940928270042</v>
      </c>
      <c r="AQ178" s="0" t="n">
        <f aca="false">$B178/AQ$1</f>
        <v>0.00118930041152263</v>
      </c>
      <c r="AR178" s="0" t="n">
        <f aca="false">$B178/AR$1</f>
        <v>0.00116064257028112</v>
      </c>
      <c r="AS178" s="0" t="n">
        <f aca="false">$B178/AS$1</f>
        <v>0.00113333333333333</v>
      </c>
      <c r="AT178" s="0" t="n">
        <f aca="false">$B178/AT$1</f>
        <v>0.00110727969348659</v>
      </c>
      <c r="AU178" s="0" t="n">
        <f aca="false">$B178/AU$1</f>
        <v>0.00108239700374532</v>
      </c>
      <c r="AV178" s="0" t="n">
        <f aca="false">$B178/AV$1</f>
        <v>0.00105860805860806</v>
      </c>
      <c r="AW178" s="0" t="n">
        <f aca="false">$B178/AW$1</f>
        <v>0.00103584229390681</v>
      </c>
      <c r="AX178" s="0" t="n">
        <f aca="false">$B178/AX$1</f>
        <v>0.0010140350877193</v>
      </c>
      <c r="AY178" s="0" t="n">
        <f aca="false">$B178/AY$1</f>
        <v>0.000993127147766323</v>
      </c>
      <c r="AZ178" s="0" t="n">
        <f aca="false">$B178/AZ$1</f>
        <v>0.000973063973063973</v>
      </c>
      <c r="BA178" s="0" t="n">
        <f aca="false">$B178/BA$1</f>
        <v>0.000953795379537954</v>
      </c>
      <c r="BB178" s="0" t="n">
        <f aca="false">$B178/BB$1</f>
        <v>0.000935275080906149</v>
      </c>
      <c r="BC178" s="0" t="n">
        <f aca="false">$B178/BC$1</f>
        <v>0.000917460317460317</v>
      </c>
      <c r="BD178" s="0" t="n">
        <f aca="false">$B178/BD$1</f>
        <v>0.000900311526479751</v>
      </c>
      <c r="BE178" s="0" t="n">
        <f aca="false">$B178/BE$1</f>
        <v>0.000883792048929664</v>
      </c>
      <c r="BF178" s="0" t="n">
        <f aca="false">$B178/BF$1</f>
        <v>0.000867867867867868</v>
      </c>
      <c r="BG178" s="0" t="n">
        <f aca="false">$B178/BG$1</f>
        <v>0.000852507374631268</v>
      </c>
      <c r="BH178" s="0" t="n">
        <f aca="false">$B178/BH$1</f>
        <v>0.00083768115942029</v>
      </c>
      <c r="BI178" s="0" t="n">
        <f aca="false">$B178/BI$1</f>
        <v>0.000823361823361823</v>
      </c>
      <c r="BJ178" s="0" t="n">
        <f aca="false">$B178/BJ$1</f>
        <v>0.00080952380952381</v>
      </c>
      <c r="BL178" s="0" t="n">
        <f aca="false">IF($B$174=1,COUNTIF(C178:BJ178,"&gt;="&amp;$C$174),0)</f>
        <v>12</v>
      </c>
      <c r="BM178" s="0" t="n">
        <f aca="false">IF($B$174=1,IF(OR(BS178&gt;=Settings!$B$5,Settings!$C$17&gt;0),MAX(BL178,Settings!$C$17),0),0)</f>
        <v>12</v>
      </c>
      <c r="BN178" s="0" t="n">
        <f aca="false">IF($B$174=1,IF(OR(BS178&gt;=Settings!$B$5,Settings!$C$17&gt;0),MAX(0,(2*MAX(BL178,Settings!$C$17)+1)*$C$174-BS178),MAX(0,Settings!$B$5-BS178)),"")</f>
        <v>0.00700000000000001</v>
      </c>
      <c r="BO178" s="0" t="n">
        <f aca="false">IF($B$174=1,IF(OR(BS178&gt;=Settings!$B$5,Settings!$C$17&gt;0),IF(BL178&lt;=Settings!$C$17,"Protected by electorates",IF(Settings!$C$17=0,MIN(BS178-(2*BL178-1)*$D$174,BS178-Settings!$B$5),BS178-(2*BL178-1)*$D$174)),""),"")</f>
        <v>0.00137037037037036</v>
      </c>
      <c r="BP178" s="0" t="n">
        <f aca="false">IF($B$174=1,IF(OR(BS178&gt;=Settings!$B$5,Settings!$C$17&gt;0),MAX(0,MIN(1,(BS178/$C$174-(2*MAX(BL178,Settings!$C$17)-1))/2)),MIN(1,BS178/Settings!$B$5)),"")</f>
        <v>0.153225806451612</v>
      </c>
      <c r="BQ178" s="0" t="n">
        <f aca="false">IF(AND($B$174=1,COUNTIF(C178:BJ178,$C$174)&gt;0),1,0)</f>
        <v>0</v>
      </c>
      <c r="BR178" s="0" t="n">
        <f aca="false">IF(AND($B$174=1,COUNTIF(C178:BJ178,$D$174)&gt;0),1,0)</f>
        <v>0</v>
      </c>
      <c r="BS178" s="0" t="n">
        <f aca="false">N(IF(Polls!K25="",Polls!K37,Polls!K25))</f>
        <v>0.0963333333333333</v>
      </c>
      <c r="BT178" s="0" t="str">
        <f aca="false">IF(OR(BS178&gt;=Settings!$B$5,Settings!$C$17&gt;0),"Next seat","Threshold")</f>
        <v>Next seat</v>
      </c>
    </row>
    <row r="179" customFormat="false" ht="15" hidden="false" customHeight="false" outlineLevel="0" collapsed="false">
      <c r="A179" s="0" t="s">
        <v>48</v>
      </c>
      <c r="B179" s="0" t="n">
        <f aca="false">IF(OR(BS179&gt;=Settings!$B$5,Settings!$C$18&gt;0),BS179,0)</f>
        <v>0.103333333333333</v>
      </c>
      <c r="C179" s="0" t="n">
        <f aca="false">$B179/C$1</f>
        <v>0.103333333333333</v>
      </c>
      <c r="D179" s="0" t="n">
        <f aca="false">$B179/D$1</f>
        <v>0.0344444444444444</v>
      </c>
      <c r="E179" s="0" t="n">
        <f aca="false">$B179/E$1</f>
        <v>0.0206666666666667</v>
      </c>
      <c r="F179" s="0" t="n">
        <f aca="false">$B179/F$1</f>
        <v>0.0147619047619048</v>
      </c>
      <c r="G179" s="0" t="n">
        <f aca="false">$B179/G$1</f>
        <v>0.0114814814814815</v>
      </c>
      <c r="H179" s="0" t="n">
        <f aca="false">$B179/H$1</f>
        <v>0.00939393939393939</v>
      </c>
      <c r="I179" s="0" t="n">
        <f aca="false">$B179/I$1</f>
        <v>0.00794871794871795</v>
      </c>
      <c r="J179" s="0" t="n">
        <f aca="false">$B179/J$1</f>
        <v>0.00688888888888889</v>
      </c>
      <c r="K179" s="0" t="n">
        <f aca="false">$B179/K$1</f>
        <v>0.00607843137254902</v>
      </c>
      <c r="L179" s="0" t="n">
        <f aca="false">$B179/L$1</f>
        <v>0.00543859649122807</v>
      </c>
      <c r="M179" s="0" t="n">
        <f aca="false">$B179/M$1</f>
        <v>0.00492063492063492</v>
      </c>
      <c r="N179" s="0" t="n">
        <f aca="false">$B179/N$1</f>
        <v>0.00449275362318841</v>
      </c>
      <c r="O179" s="0" t="n">
        <f aca="false">$B179/O$1</f>
        <v>0.00413333333333333</v>
      </c>
      <c r="P179" s="0" t="n">
        <f aca="false">$B179/P$1</f>
        <v>0.00382716049382716</v>
      </c>
      <c r="Q179" s="0" t="n">
        <f aca="false">$B179/Q$1</f>
        <v>0.0035632183908046</v>
      </c>
      <c r="R179" s="0" t="n">
        <f aca="false">$B179/R$1</f>
        <v>0.00333333333333333</v>
      </c>
      <c r="S179" s="0" t="n">
        <f aca="false">$B179/S$1</f>
        <v>0.00313131313131313</v>
      </c>
      <c r="T179" s="0" t="n">
        <f aca="false">$B179/T$1</f>
        <v>0.00295238095238095</v>
      </c>
      <c r="U179" s="0" t="n">
        <f aca="false">$B179/U$1</f>
        <v>0.00279279279279279</v>
      </c>
      <c r="V179" s="0" t="n">
        <f aca="false">$B179/V$1</f>
        <v>0.00264957264957265</v>
      </c>
      <c r="W179" s="0" t="n">
        <f aca="false">$B179/W$1</f>
        <v>0.00252032520325203</v>
      </c>
      <c r="X179" s="0" t="n">
        <f aca="false">$B179/X$1</f>
        <v>0.0024031007751938</v>
      </c>
      <c r="Y179" s="0" t="n">
        <f aca="false">$B179/Y$1</f>
        <v>0.0022962962962963</v>
      </c>
      <c r="Z179" s="0" t="n">
        <f aca="false">$B179/Z$1</f>
        <v>0.00219858156028369</v>
      </c>
      <c r="AA179" s="0" t="n">
        <f aca="false">$B179/AA$1</f>
        <v>0.00210884353741497</v>
      </c>
      <c r="AB179" s="0" t="n">
        <f aca="false">$B179/AB$1</f>
        <v>0.00202614379084967</v>
      </c>
      <c r="AC179" s="0" t="n">
        <f aca="false">$B179/AC$1</f>
        <v>0.0019496855345912</v>
      </c>
      <c r="AD179" s="0" t="n">
        <f aca="false">$B179/AD$1</f>
        <v>0.00187878787878788</v>
      </c>
      <c r="AE179" s="0" t="n">
        <f aca="false">$B179/AE$1</f>
        <v>0.00181286549707602</v>
      </c>
      <c r="AF179" s="0" t="n">
        <f aca="false">$B179/AF$1</f>
        <v>0.00175141242937853</v>
      </c>
      <c r="AG179" s="0" t="n">
        <f aca="false">$B179/AG$1</f>
        <v>0.00169398907103825</v>
      </c>
      <c r="AH179" s="0" t="n">
        <f aca="false">$B179/AH$1</f>
        <v>0.00164021164021164</v>
      </c>
      <c r="AI179" s="0" t="n">
        <f aca="false">$B179/AI$1</f>
        <v>0.00158974358974359</v>
      </c>
      <c r="AJ179" s="0" t="n">
        <f aca="false">$B179/AJ$1</f>
        <v>0.00154228855721393</v>
      </c>
      <c r="AK179" s="0" t="n">
        <f aca="false">$B179/AK$1</f>
        <v>0.0014975845410628</v>
      </c>
      <c r="AL179" s="0" t="n">
        <f aca="false">$B179/AL$1</f>
        <v>0.00145539906103286</v>
      </c>
      <c r="AM179" s="0" t="n">
        <f aca="false">$B179/AM$1</f>
        <v>0.00141552511415525</v>
      </c>
      <c r="AN179" s="0" t="n">
        <f aca="false">$B179/AN$1</f>
        <v>0.00137777777777778</v>
      </c>
      <c r="AO179" s="0" t="n">
        <f aca="false">$B179/AO$1</f>
        <v>0.00134199134199134</v>
      </c>
      <c r="AP179" s="0" t="n">
        <f aca="false">$B179/AP$1</f>
        <v>0.00130801687763713</v>
      </c>
      <c r="AQ179" s="0" t="n">
        <f aca="false">$B179/AQ$1</f>
        <v>0.00127572016460905</v>
      </c>
      <c r="AR179" s="0" t="n">
        <f aca="false">$B179/AR$1</f>
        <v>0.00124497991967872</v>
      </c>
      <c r="AS179" s="0" t="n">
        <f aca="false">$B179/AS$1</f>
        <v>0.0012156862745098</v>
      </c>
      <c r="AT179" s="0" t="n">
        <f aca="false">$B179/AT$1</f>
        <v>0.00118773946360153</v>
      </c>
      <c r="AU179" s="0" t="n">
        <f aca="false">$B179/AU$1</f>
        <v>0.00116104868913858</v>
      </c>
      <c r="AV179" s="0" t="n">
        <f aca="false">$B179/AV$1</f>
        <v>0.00113553113553114</v>
      </c>
      <c r="AW179" s="0" t="n">
        <f aca="false">$B179/AW$1</f>
        <v>0.00111111111111111</v>
      </c>
      <c r="AX179" s="0" t="n">
        <f aca="false">$B179/AX$1</f>
        <v>0.00108771929824561</v>
      </c>
      <c r="AY179" s="0" t="n">
        <f aca="false">$B179/AY$1</f>
        <v>0.00106529209621993</v>
      </c>
      <c r="AZ179" s="0" t="n">
        <f aca="false">$B179/AZ$1</f>
        <v>0.00104377104377104</v>
      </c>
      <c r="BA179" s="0" t="n">
        <f aca="false">$B179/BA$1</f>
        <v>0.00102310231023102</v>
      </c>
      <c r="BB179" s="0" t="n">
        <f aca="false">$B179/BB$1</f>
        <v>0.00100323624595469</v>
      </c>
      <c r="BC179" s="0" t="n">
        <f aca="false">$B179/BC$1</f>
        <v>0.000984126984126984</v>
      </c>
      <c r="BD179" s="0" t="n">
        <f aca="false">$B179/BD$1</f>
        <v>0.000965732087227414</v>
      </c>
      <c r="BE179" s="0" t="n">
        <f aca="false">$B179/BE$1</f>
        <v>0.000948012232415902</v>
      </c>
      <c r="BF179" s="0" t="n">
        <f aca="false">$B179/BF$1</f>
        <v>0.000930930930930931</v>
      </c>
      <c r="BG179" s="0" t="n">
        <f aca="false">$B179/BG$1</f>
        <v>0.000914454277286136</v>
      </c>
      <c r="BH179" s="0" t="n">
        <f aca="false">$B179/BH$1</f>
        <v>0.000898550724637681</v>
      </c>
      <c r="BI179" s="0" t="n">
        <f aca="false">$B179/BI$1</f>
        <v>0.000883190883190883</v>
      </c>
      <c r="BJ179" s="0" t="n">
        <f aca="false">$B179/BJ$1</f>
        <v>0.000868347338935574</v>
      </c>
      <c r="BL179" s="0" t="n">
        <f aca="false">IF($B$174=1,COUNTIF(C179:BJ179,"&gt;="&amp;$C$174),0)</f>
        <v>13</v>
      </c>
      <c r="BM179" s="0" t="n">
        <f aca="false">IF($B$174=1,IF(OR(BS179&gt;=Settings!$B$5,Settings!$C$18&gt;0),MAX(BL179,Settings!$C$18),0),0)</f>
        <v>13</v>
      </c>
      <c r="BN179" s="0" t="n">
        <f aca="false">IF($B$174=1,IF(OR(BS179&gt;=Settings!$B$5,Settings!$C$18&gt;0),MAX(0,(2*MAX(BL179,Settings!$C$18)+1)*$C$174-BS179),MAX(0,Settings!$B$5-BS179)),"")</f>
        <v>0.00826666666666667</v>
      </c>
      <c r="BO179" s="0" t="n">
        <f aca="false">IF($B$174=1,IF(OR(BS179&gt;=Settings!$B$5,Settings!$C$18&gt;0),IF(BL179&lt;=Settings!$C$18,"Protected by electorates",IF(Settings!$C$18=0,MIN(BS179-(2*BL179-1)*$D$174,BS179-Settings!$B$5),BS179-(2*BL179-1)*$D$174)),""),"")</f>
        <v>0.000112721417069223</v>
      </c>
      <c r="BP179" s="0" t="n">
        <f aca="false">IF($B$174=1,IF(OR(BS179&gt;=Settings!$B$5,Settings!$C$18&gt;0),MAX(0,MIN(1,(BS179/$C$174-(2*MAX(BL179,Settings!$C$18)-1))/2)),MIN(1,BS179/Settings!$B$5)),"")</f>
        <v>0</v>
      </c>
      <c r="BQ179" s="0" t="n">
        <f aca="false">IF(AND($B$174=1,COUNTIF(C179:BJ179,$C$174)&gt;0),1,0)</f>
        <v>1</v>
      </c>
      <c r="BR179" s="0" t="n">
        <f aca="false">IF(AND($B$174=1,COUNTIF(C179:BJ179,$D$174)&gt;0),1,0)</f>
        <v>0</v>
      </c>
      <c r="BS179" s="0" t="n">
        <f aca="false">N(IF(Polls!L25="",Polls!L37,Polls!L25))</f>
        <v>0.103333333333333</v>
      </c>
      <c r="BT179" s="0" t="str">
        <f aca="false">IF(OR(BS179&gt;=Settings!$B$5,Settings!$C$18&gt;0),"Next seat","Threshold")</f>
        <v>Next seat</v>
      </c>
    </row>
    <row r="180" customFormat="false" ht="15" hidden="false" customHeight="false" outlineLevel="0" collapsed="false">
      <c r="A180" s="0" t="s">
        <v>50</v>
      </c>
      <c r="B180" s="0" t="n">
        <f aca="false">IF(OR(BS180&gt;=Settings!$B$5,Settings!$C$19&gt;0),BS180,0)</f>
        <v>0.0145</v>
      </c>
      <c r="C180" s="0" t="n">
        <f aca="false">$B180/C$1</f>
        <v>0.0145</v>
      </c>
      <c r="D180" s="0" t="n">
        <f aca="false">$B180/D$1</f>
        <v>0.00483333333333333</v>
      </c>
      <c r="E180" s="0" t="n">
        <f aca="false">$B180/E$1</f>
        <v>0.0029</v>
      </c>
      <c r="F180" s="0" t="n">
        <f aca="false">$B180/F$1</f>
        <v>0.00207142857142857</v>
      </c>
      <c r="G180" s="0" t="n">
        <f aca="false">$B180/G$1</f>
        <v>0.00161111111111111</v>
      </c>
      <c r="H180" s="0" t="n">
        <f aca="false">$B180/H$1</f>
        <v>0.00131818181818182</v>
      </c>
      <c r="I180" s="0" t="n">
        <f aca="false">$B180/I$1</f>
        <v>0.00111538461538462</v>
      </c>
      <c r="J180" s="0" t="n">
        <f aca="false">$B180/J$1</f>
        <v>0.000966666666666667</v>
      </c>
      <c r="K180" s="0" t="n">
        <f aca="false">$B180/K$1</f>
        <v>0.000852941176470588</v>
      </c>
      <c r="L180" s="0" t="n">
        <f aca="false">$B180/L$1</f>
        <v>0.000763157894736842</v>
      </c>
      <c r="M180" s="0" t="n">
        <f aca="false">$B180/M$1</f>
        <v>0.000690476190476191</v>
      </c>
      <c r="N180" s="0" t="n">
        <f aca="false">$B180/N$1</f>
        <v>0.000630434782608696</v>
      </c>
      <c r="O180" s="0" t="n">
        <f aca="false">$B180/O$1</f>
        <v>0.00058</v>
      </c>
      <c r="P180" s="0" t="n">
        <f aca="false">$B180/P$1</f>
        <v>0.000537037037037037</v>
      </c>
      <c r="Q180" s="0" t="n">
        <f aca="false">$B180/Q$1</f>
        <v>0.0005</v>
      </c>
      <c r="R180" s="0" t="n">
        <f aca="false">$B180/R$1</f>
        <v>0.000467741935483871</v>
      </c>
      <c r="S180" s="0" t="n">
        <f aca="false">$B180/S$1</f>
        <v>0.000439393939393939</v>
      </c>
      <c r="T180" s="0" t="n">
        <f aca="false">$B180/T$1</f>
        <v>0.000414285714285714</v>
      </c>
      <c r="U180" s="0" t="n">
        <f aca="false">$B180/U$1</f>
        <v>0.000391891891891892</v>
      </c>
      <c r="V180" s="0" t="n">
        <f aca="false">$B180/V$1</f>
        <v>0.000371794871794872</v>
      </c>
      <c r="W180" s="0" t="n">
        <f aca="false">$B180/W$1</f>
        <v>0.000353658536585366</v>
      </c>
      <c r="X180" s="0" t="n">
        <f aca="false">$B180/X$1</f>
        <v>0.000337209302325581</v>
      </c>
      <c r="Y180" s="0" t="n">
        <f aca="false">$B180/Y$1</f>
        <v>0.000322222222222222</v>
      </c>
      <c r="Z180" s="0" t="n">
        <f aca="false">$B180/Z$1</f>
        <v>0.000308510638297872</v>
      </c>
      <c r="AA180" s="0" t="n">
        <f aca="false">$B180/AA$1</f>
        <v>0.000295918367346939</v>
      </c>
      <c r="AB180" s="0" t="n">
        <f aca="false">$B180/AB$1</f>
        <v>0.000284313725490196</v>
      </c>
      <c r="AC180" s="0" t="n">
        <f aca="false">$B180/AC$1</f>
        <v>0.000273584905660377</v>
      </c>
      <c r="AD180" s="0" t="n">
        <f aca="false">$B180/AD$1</f>
        <v>0.000263636363636364</v>
      </c>
      <c r="AE180" s="0" t="n">
        <f aca="false">$B180/AE$1</f>
        <v>0.000254385964912281</v>
      </c>
      <c r="AF180" s="0" t="n">
        <f aca="false">$B180/AF$1</f>
        <v>0.000245762711864407</v>
      </c>
      <c r="AG180" s="0" t="n">
        <f aca="false">$B180/AG$1</f>
        <v>0.000237704918032787</v>
      </c>
      <c r="AH180" s="0" t="n">
        <f aca="false">$B180/AH$1</f>
        <v>0.00023015873015873</v>
      </c>
      <c r="AI180" s="0" t="n">
        <f aca="false">$B180/AI$1</f>
        <v>0.000223076923076923</v>
      </c>
      <c r="AJ180" s="0" t="n">
        <f aca="false">$B180/AJ$1</f>
        <v>0.000216417910447761</v>
      </c>
      <c r="AK180" s="0" t="n">
        <f aca="false">$B180/AK$1</f>
        <v>0.000210144927536232</v>
      </c>
      <c r="AL180" s="0" t="n">
        <f aca="false">$B180/AL$1</f>
        <v>0.000204225352112676</v>
      </c>
      <c r="AM180" s="0" t="n">
        <f aca="false">$B180/AM$1</f>
        <v>0.000198630136986301</v>
      </c>
      <c r="AN180" s="0" t="n">
        <f aca="false">$B180/AN$1</f>
        <v>0.000193333333333333</v>
      </c>
      <c r="AO180" s="0" t="n">
        <f aca="false">$B180/AO$1</f>
        <v>0.000188311688311688</v>
      </c>
      <c r="AP180" s="0" t="n">
        <f aca="false">$B180/AP$1</f>
        <v>0.000183544303797468</v>
      </c>
      <c r="AQ180" s="0" t="n">
        <f aca="false">$B180/AQ$1</f>
        <v>0.000179012345679012</v>
      </c>
      <c r="AR180" s="0" t="n">
        <f aca="false">$B180/AR$1</f>
        <v>0.000174698795180723</v>
      </c>
      <c r="AS180" s="0" t="n">
        <f aca="false">$B180/AS$1</f>
        <v>0.000170588235294118</v>
      </c>
      <c r="AT180" s="0" t="n">
        <f aca="false">$B180/AT$1</f>
        <v>0.000166666666666667</v>
      </c>
      <c r="AU180" s="0" t="n">
        <f aca="false">$B180/AU$1</f>
        <v>0.000162921348314607</v>
      </c>
      <c r="AV180" s="0" t="n">
        <f aca="false">$B180/AV$1</f>
        <v>0.000159340659340659</v>
      </c>
      <c r="AW180" s="0" t="n">
        <f aca="false">$B180/AW$1</f>
        <v>0.000155913978494624</v>
      </c>
      <c r="AX180" s="0" t="n">
        <f aca="false">$B180/AX$1</f>
        <v>0.000152631578947368</v>
      </c>
      <c r="AY180" s="0" t="n">
        <f aca="false">$B180/AY$1</f>
        <v>0.000149484536082474</v>
      </c>
      <c r="AZ180" s="0" t="n">
        <f aca="false">$B180/AZ$1</f>
        <v>0.000146464646464646</v>
      </c>
      <c r="BA180" s="0" t="n">
        <f aca="false">$B180/BA$1</f>
        <v>0.000143564356435644</v>
      </c>
      <c r="BB180" s="0" t="n">
        <f aca="false">$B180/BB$1</f>
        <v>0.000140776699029126</v>
      </c>
      <c r="BC180" s="0" t="n">
        <f aca="false">$B180/BC$1</f>
        <v>0.000138095238095238</v>
      </c>
      <c r="BD180" s="0" t="n">
        <f aca="false">$B180/BD$1</f>
        <v>0.000135514018691589</v>
      </c>
      <c r="BE180" s="0" t="n">
        <f aca="false">$B180/BE$1</f>
        <v>0.00013302752293578</v>
      </c>
      <c r="BF180" s="0" t="n">
        <f aca="false">$B180/BF$1</f>
        <v>0.000130630630630631</v>
      </c>
      <c r="BG180" s="0" t="n">
        <f aca="false">$B180/BG$1</f>
        <v>0.000128318584070796</v>
      </c>
      <c r="BH180" s="0" t="n">
        <f aca="false">$B180/BH$1</f>
        <v>0.000126086956521739</v>
      </c>
      <c r="BI180" s="0" t="n">
        <f aca="false">$B180/BI$1</f>
        <v>0.000123931623931624</v>
      </c>
      <c r="BJ180" s="0" t="n">
        <f aca="false">$B180/BJ$1</f>
        <v>0.000121848739495798</v>
      </c>
      <c r="BL180" s="0" t="n">
        <f aca="false">IF($B$174=1,COUNTIF(C180:BJ180,"&gt;="&amp;$C$174),0)</f>
        <v>2</v>
      </c>
      <c r="BM180" s="0" t="n">
        <f aca="false">IF($B$174=1,IF(OR(BS180&gt;=Settings!$B$5,Settings!$C$19&gt;0),MAX(BL180,Settings!$C$19),0),0)</f>
        <v>4</v>
      </c>
      <c r="BN180" s="0" t="n">
        <f aca="false">IF($B$174=1,IF(OR(BS180&gt;=Settings!$B$5,Settings!$C$19&gt;0),MAX(0,(2*MAX(BL180,Settings!$C$19)+1)*$C$174-BS180),MAX(0,Settings!$B$5-BS180)),"")</f>
        <v>0.0227</v>
      </c>
      <c r="BO180" s="0" t="str">
        <f aca="false">IF($B$174=1,IF(OR(BS180&gt;=Settings!$B$5,Settings!$C$19&gt;0),IF(BL180&lt;=Settings!$C$19,"Protected by electorates",IF(Settings!$C$19=0,MIN(BS180-(2*BL180-1)*$D$174,BS180-Settings!$B$5),BS180-(2*BL180-1)*$D$174)),""),"")</f>
        <v>Protected by electorates</v>
      </c>
      <c r="BP180" s="0" t="n">
        <f aca="false">IF($B$174=1,IF(OR(BS180&gt;=Settings!$B$5,Settings!$C$19&gt;0),MAX(0,MIN(1,(BS180/$C$174-(2*MAX(BL180,Settings!$C$19)-1))/2)),MIN(1,BS180/Settings!$B$5)),"")</f>
        <v>0</v>
      </c>
      <c r="BQ180" s="0" t="n">
        <f aca="false">IF(AND($B$174=1,COUNTIF(C180:BJ180,$C$174)&gt;0),1,0)</f>
        <v>0</v>
      </c>
      <c r="BR180" s="0" t="n">
        <f aca="false">IF(AND($B$174=1,COUNTIF(C180:BJ180,$D$174)&gt;0),1,0)</f>
        <v>0</v>
      </c>
      <c r="BS180" s="0" t="n">
        <f aca="false">N(IF(Polls!M25="",Polls!M37,Polls!M25))</f>
        <v>0.0145</v>
      </c>
      <c r="BT180" s="0" t="str">
        <f aca="false">IF(OR(BS180&gt;=Settings!$B$5,Settings!$C$19&gt;0),"Next seat","Threshold")</f>
        <v>Next seat</v>
      </c>
    </row>
    <row r="181" customFormat="false" ht="15" hidden="false" customHeight="false" outlineLevel="0" collapsed="false">
      <c r="A181" s="0" t="s">
        <v>52</v>
      </c>
      <c r="B181" s="0" t="n">
        <f aca="false">IF(OR(BS181&gt;=Settings!$B$5,Settings!$C$20&gt;0),BS181,0)</f>
        <v>0.0614444444444445</v>
      </c>
      <c r="C181" s="0" t="n">
        <f aca="false">$B181/C$1</f>
        <v>0.0614444444444445</v>
      </c>
      <c r="D181" s="0" t="n">
        <f aca="false">$B181/D$1</f>
        <v>0.0204814814814815</v>
      </c>
      <c r="E181" s="0" t="n">
        <f aca="false">$B181/E$1</f>
        <v>0.0122888888888889</v>
      </c>
      <c r="F181" s="0" t="n">
        <f aca="false">$B181/F$1</f>
        <v>0.00877777777777778</v>
      </c>
      <c r="G181" s="0" t="n">
        <f aca="false">$B181/G$1</f>
        <v>0.00682716049382716</v>
      </c>
      <c r="H181" s="0" t="n">
        <f aca="false">$B181/H$1</f>
        <v>0.00558585858585859</v>
      </c>
      <c r="I181" s="0" t="n">
        <f aca="false">$B181/I$1</f>
        <v>0.00472649572649573</v>
      </c>
      <c r="J181" s="0" t="n">
        <f aca="false">$B181/J$1</f>
        <v>0.0040962962962963</v>
      </c>
      <c r="K181" s="0" t="n">
        <f aca="false">$B181/K$1</f>
        <v>0.00361437908496732</v>
      </c>
      <c r="L181" s="0" t="n">
        <f aca="false">$B181/L$1</f>
        <v>0.00323391812865497</v>
      </c>
      <c r="M181" s="0" t="n">
        <f aca="false">$B181/M$1</f>
        <v>0.00292592592592593</v>
      </c>
      <c r="N181" s="0" t="n">
        <f aca="false">$B181/N$1</f>
        <v>0.00267149758454106</v>
      </c>
      <c r="O181" s="0" t="n">
        <f aca="false">$B181/O$1</f>
        <v>0.00245777777777778</v>
      </c>
      <c r="P181" s="0" t="n">
        <f aca="false">$B181/P$1</f>
        <v>0.00227572016460905</v>
      </c>
      <c r="Q181" s="0" t="n">
        <f aca="false">$B181/Q$1</f>
        <v>0.00211877394636015</v>
      </c>
      <c r="R181" s="0" t="n">
        <f aca="false">$B181/R$1</f>
        <v>0.0019820788530466</v>
      </c>
      <c r="S181" s="0" t="n">
        <f aca="false">$B181/S$1</f>
        <v>0.00186195286195286</v>
      </c>
      <c r="T181" s="0" t="n">
        <f aca="false">$B181/T$1</f>
        <v>0.00175555555555556</v>
      </c>
      <c r="U181" s="0" t="n">
        <f aca="false">$B181/U$1</f>
        <v>0.00166066066066066</v>
      </c>
      <c r="V181" s="0" t="n">
        <f aca="false">$B181/V$1</f>
        <v>0.00157549857549858</v>
      </c>
      <c r="W181" s="0" t="n">
        <f aca="false">$B181/W$1</f>
        <v>0.00149864498644986</v>
      </c>
      <c r="X181" s="0" t="n">
        <f aca="false">$B181/X$1</f>
        <v>0.00142894056847545</v>
      </c>
      <c r="Y181" s="0" t="n">
        <f aca="false">$B181/Y$1</f>
        <v>0.00136543209876543</v>
      </c>
      <c r="Z181" s="0" t="n">
        <f aca="false">$B181/Z$1</f>
        <v>0.00130732860520095</v>
      </c>
      <c r="AA181" s="0" t="n">
        <f aca="false">$B181/AA$1</f>
        <v>0.00125396825396825</v>
      </c>
      <c r="AB181" s="0" t="n">
        <f aca="false">$B181/AB$1</f>
        <v>0.00120479302832244</v>
      </c>
      <c r="AC181" s="0" t="n">
        <f aca="false">$B181/AC$1</f>
        <v>0.00115932914046122</v>
      </c>
      <c r="AD181" s="0" t="n">
        <f aca="false">$B181/AD$1</f>
        <v>0.00111717171717172</v>
      </c>
      <c r="AE181" s="0" t="n">
        <f aca="false">$B181/AE$1</f>
        <v>0.00107797270955166</v>
      </c>
      <c r="AF181" s="0" t="n">
        <f aca="false">$B181/AF$1</f>
        <v>0.00104143126177024</v>
      </c>
      <c r="AG181" s="0" t="n">
        <f aca="false">$B181/AG$1</f>
        <v>0.00100728597449909</v>
      </c>
      <c r="AH181" s="0" t="n">
        <f aca="false">$B181/AH$1</f>
        <v>0.000975308641975309</v>
      </c>
      <c r="AI181" s="0" t="n">
        <f aca="false">$B181/AI$1</f>
        <v>0.000945299145299145</v>
      </c>
      <c r="AJ181" s="0" t="n">
        <f aca="false">$B181/AJ$1</f>
        <v>0.000917081260364843</v>
      </c>
      <c r="AK181" s="0" t="n">
        <f aca="false">$B181/AK$1</f>
        <v>0.000890499194847021</v>
      </c>
      <c r="AL181" s="0" t="n">
        <f aca="false">$B181/AL$1</f>
        <v>0.000865414710485133</v>
      </c>
      <c r="AM181" s="0" t="n">
        <f aca="false">$B181/AM$1</f>
        <v>0.000841704718417047</v>
      </c>
      <c r="AN181" s="0" t="n">
        <f aca="false">$B181/AN$1</f>
        <v>0.000819259259259259</v>
      </c>
      <c r="AO181" s="0" t="n">
        <f aca="false">$B181/AO$1</f>
        <v>0.000797979797979798</v>
      </c>
      <c r="AP181" s="0" t="n">
        <f aca="false">$B181/AP$1</f>
        <v>0.000777777777777778</v>
      </c>
      <c r="AQ181" s="0" t="n">
        <f aca="false">$B181/AQ$1</f>
        <v>0.000758573388203018</v>
      </c>
      <c r="AR181" s="0" t="n">
        <f aca="false">$B181/AR$1</f>
        <v>0.000740294511378849</v>
      </c>
      <c r="AS181" s="0" t="n">
        <f aca="false">$B181/AS$1</f>
        <v>0.000722875816993464</v>
      </c>
      <c r="AT181" s="0" t="n">
        <f aca="false">$B181/AT$1</f>
        <v>0.000706257982120051</v>
      </c>
      <c r="AU181" s="0" t="n">
        <f aca="false">$B181/AU$1</f>
        <v>0.000690387016229713</v>
      </c>
      <c r="AV181" s="0" t="n">
        <f aca="false">$B181/AV$1</f>
        <v>0.000675213675213675</v>
      </c>
      <c r="AW181" s="0" t="n">
        <f aca="false">$B181/AW$1</f>
        <v>0.000660692951015532</v>
      </c>
      <c r="AX181" s="0" t="n">
        <f aca="false">$B181/AX$1</f>
        <v>0.000646783625730994</v>
      </c>
      <c r="AY181" s="0" t="n">
        <f aca="false">$B181/AY$1</f>
        <v>0.000633447880870561</v>
      </c>
      <c r="AZ181" s="0" t="n">
        <f aca="false">$B181/AZ$1</f>
        <v>0.000620650953984287</v>
      </c>
      <c r="BA181" s="0" t="n">
        <f aca="false">$B181/BA$1</f>
        <v>0.000608360836083608</v>
      </c>
      <c r="BB181" s="0" t="n">
        <f aca="false">$B181/BB$1</f>
        <v>0.000596548004314995</v>
      </c>
      <c r="BC181" s="0" t="n">
        <f aca="false">$B181/BC$1</f>
        <v>0.000585185185185185</v>
      </c>
      <c r="BD181" s="0" t="n">
        <f aca="false">$B181/BD$1</f>
        <v>0.000574247144340602</v>
      </c>
      <c r="BE181" s="0" t="n">
        <f aca="false">$B181/BE$1</f>
        <v>0.000563710499490316</v>
      </c>
      <c r="BF181" s="0" t="n">
        <f aca="false">$B181/BF$1</f>
        <v>0.000553553553553554</v>
      </c>
      <c r="BG181" s="0" t="n">
        <f aca="false">$B181/BG$1</f>
        <v>0.000543756145526057</v>
      </c>
      <c r="BH181" s="0" t="n">
        <f aca="false">$B181/BH$1</f>
        <v>0.000534299516908213</v>
      </c>
      <c r="BI181" s="0" t="n">
        <f aca="false">$B181/BI$1</f>
        <v>0.000525166191832859</v>
      </c>
      <c r="BJ181" s="0" t="n">
        <f aca="false">$B181/BJ$1</f>
        <v>0.000516339869281046</v>
      </c>
      <c r="BL181" s="0" t="n">
        <f aca="false">IF($B$174=1,COUNTIF(C181:BJ181,"&gt;="&amp;$C$174),0)</f>
        <v>7</v>
      </c>
      <c r="BM181" s="0" t="n">
        <f aca="false">IF($B$174=1,IF(OR(BS181&gt;=Settings!$B$5,Settings!$C$20&gt;0),MAX(BL181,Settings!$C$20),0),0)</f>
        <v>7</v>
      </c>
      <c r="BN181" s="0" t="n">
        <f aca="false">IF($B$174=1,IF(OR(BS181&gt;=Settings!$B$5,Settings!$C$20&gt;0),MAX(0,(2*MAX(BL181,Settings!$C$20)+1)*$C$174-BS181),MAX(0,Settings!$B$5-BS181)),"")</f>
        <v>0.000555555555555552</v>
      </c>
      <c r="BO181" s="0" t="n">
        <f aca="false">IF($B$174=1,IF(OR(BS181&gt;=Settings!$B$5,Settings!$C$20&gt;0),IF(BL181&lt;=Settings!$C$20,"Protected by electorates",IF(Settings!$C$20=0,MIN(BS181-(2*BL181-1)*$D$174,BS181-Settings!$B$5),BS181-(2*BL181-1)*$D$174)),""),"")</f>
        <v>0.00776972624798712</v>
      </c>
      <c r="BP181" s="0" t="n">
        <f aca="false">IF($B$174=1,IF(OR(BS181&gt;=Settings!$B$5,Settings!$C$20&gt;0),MAX(0,MIN(1,(BS181/$C$174-(2*MAX(BL181,Settings!$C$20)-1))/2)),MIN(1,BS181/Settings!$B$5)),"")</f>
        <v>0.932795698924731</v>
      </c>
      <c r="BQ181" s="0" t="n">
        <f aca="false">IF(AND($B$174=1,COUNTIF(C181:BJ181,$C$174)&gt;0),1,0)</f>
        <v>0</v>
      </c>
      <c r="BR181" s="0" t="n">
        <f aca="false">IF(AND($B$174=1,COUNTIF(C181:BJ181,$D$174)&gt;0),1,0)</f>
        <v>0</v>
      </c>
      <c r="BS181" s="0" t="n">
        <f aca="false">N(IF(Polls!N25="",Polls!N37,Polls!N25))</f>
        <v>0.0614444444444445</v>
      </c>
      <c r="BT181" s="0" t="str">
        <f aca="false">IF(OR(BS181&gt;=Settings!$B$5,Settings!$C$20&gt;0),"Next seat","Threshold")</f>
        <v>Next seat</v>
      </c>
    </row>
    <row r="183" customFormat="false" ht="15" hidden="false" customHeight="false" outlineLevel="0" collapsed="false">
      <c r="A183" s="41" t="n">
        <f aca="false">Polls!A26</f>
        <v>0</v>
      </c>
      <c r="B183" s="17" t="n">
        <f aca="false">IF(SUM(BS184:BS190)&gt;0,1,0)</f>
        <v>1</v>
      </c>
      <c r="C183" s="17" t="n">
        <f aca="false">IF(B183=1,LARGE(C184:BJ190,Settings!$B$4),0)</f>
        <v>0.00413333333333333</v>
      </c>
      <c r="D183" s="17" t="n">
        <f aca="false">IF(B183=1,LARGE(C184:BJ190,Settings!$B$4+1),0)</f>
        <v>0.00412882447665056</v>
      </c>
      <c r="E183" s="0" t="str">
        <f aca="false">IF(B183=1,IFERROR(INDEX(A184:A190,MATCH(1,BQ184:BQ190,0)),""),"")</f>
        <v>NZF</v>
      </c>
      <c r="F183" s="0" t="str">
        <f aca="false">IF(B183=1,IFERROR(INDEX(A184:A190,MATCH(1,BR184:BR190,0)),""),"")</f>
        <v>NAT</v>
      </c>
      <c r="G183" s="17" t="n">
        <f aca="false">IF(B183=1,SUM(BM184:BM190)+Settings!$B$10,"")</f>
        <v>122</v>
      </c>
    </row>
    <row r="184" customFormat="false" ht="15" hidden="false" customHeight="false" outlineLevel="0" collapsed="false">
      <c r="A184" s="0" t="s">
        <v>41</v>
      </c>
      <c r="B184" s="0" t="n">
        <f aca="false">IF(OR(BS184&gt;=Settings!$B$5,Settings!$C$14&gt;0),BS184,0)</f>
        <v>0.284888888888889</v>
      </c>
      <c r="C184" s="0" t="n">
        <f aca="false">$B184/C$1</f>
        <v>0.284888888888889</v>
      </c>
      <c r="D184" s="0" t="n">
        <f aca="false">$B184/D$1</f>
        <v>0.094962962962963</v>
      </c>
      <c r="E184" s="0" t="n">
        <f aca="false">$B184/E$1</f>
        <v>0.0569777777777778</v>
      </c>
      <c r="F184" s="0" t="n">
        <f aca="false">$B184/F$1</f>
        <v>0.0406984126984127</v>
      </c>
      <c r="G184" s="0" t="n">
        <f aca="false">$B184/G$1</f>
        <v>0.0316543209876543</v>
      </c>
      <c r="H184" s="0" t="n">
        <f aca="false">$B184/H$1</f>
        <v>0.0258989898989899</v>
      </c>
      <c r="I184" s="0" t="n">
        <f aca="false">$B184/I$1</f>
        <v>0.0219145299145299</v>
      </c>
      <c r="J184" s="0" t="n">
        <f aca="false">$B184/J$1</f>
        <v>0.0189925925925926</v>
      </c>
      <c r="K184" s="0" t="n">
        <f aca="false">$B184/K$1</f>
        <v>0.0167581699346405</v>
      </c>
      <c r="L184" s="0" t="n">
        <f aca="false">$B184/L$1</f>
        <v>0.0149941520467836</v>
      </c>
      <c r="M184" s="0" t="n">
        <f aca="false">$B184/M$1</f>
        <v>0.0135661375661376</v>
      </c>
      <c r="N184" s="0" t="n">
        <f aca="false">$B184/N$1</f>
        <v>0.0123864734299517</v>
      </c>
      <c r="O184" s="0" t="n">
        <f aca="false">$B184/O$1</f>
        <v>0.0113955555555556</v>
      </c>
      <c r="P184" s="0" t="n">
        <f aca="false">$B184/P$1</f>
        <v>0.0105514403292181</v>
      </c>
      <c r="Q184" s="0" t="n">
        <f aca="false">$B184/Q$1</f>
        <v>0.00982375478927203</v>
      </c>
      <c r="R184" s="0" t="n">
        <f aca="false">$B184/R$1</f>
        <v>0.0091899641577061</v>
      </c>
      <c r="S184" s="0" t="n">
        <f aca="false">$B184/S$1</f>
        <v>0.00863299663299663</v>
      </c>
      <c r="T184" s="0" t="n">
        <f aca="false">$B184/T$1</f>
        <v>0.00813968253968254</v>
      </c>
      <c r="U184" s="0" t="n">
        <f aca="false">$B184/U$1</f>
        <v>0.0076996996996997</v>
      </c>
      <c r="V184" s="0" t="n">
        <f aca="false">$B184/V$1</f>
        <v>0.00730484330484331</v>
      </c>
      <c r="W184" s="0" t="n">
        <f aca="false">$B184/W$1</f>
        <v>0.00694850948509485</v>
      </c>
      <c r="X184" s="0" t="n">
        <f aca="false">$B184/X$1</f>
        <v>0.00662532299741602</v>
      </c>
      <c r="Y184" s="0" t="n">
        <f aca="false">$B184/Y$1</f>
        <v>0.00633086419753086</v>
      </c>
      <c r="Z184" s="0" t="n">
        <f aca="false">$B184/Z$1</f>
        <v>0.00606146572104019</v>
      </c>
      <c r="AA184" s="0" t="n">
        <f aca="false">$B184/AA$1</f>
        <v>0.0058140589569161</v>
      </c>
      <c r="AB184" s="0" t="n">
        <f aca="false">$B184/AB$1</f>
        <v>0.00558605664488018</v>
      </c>
      <c r="AC184" s="0" t="n">
        <f aca="false">$B184/AC$1</f>
        <v>0.00537526205450734</v>
      </c>
      <c r="AD184" s="0" t="n">
        <f aca="false">$B184/AD$1</f>
        <v>0.00517979797979798</v>
      </c>
      <c r="AE184" s="0" t="n">
        <f aca="false">$B184/AE$1</f>
        <v>0.00499805068226121</v>
      </c>
      <c r="AF184" s="0" t="n">
        <f aca="false">$B184/AF$1</f>
        <v>0.0048286252354049</v>
      </c>
      <c r="AG184" s="0" t="n">
        <f aca="false">$B184/AG$1</f>
        <v>0.00467030965391621</v>
      </c>
      <c r="AH184" s="0" t="n">
        <f aca="false">$B184/AH$1</f>
        <v>0.00452204585537919</v>
      </c>
      <c r="AI184" s="0" t="n">
        <f aca="false">$B184/AI$1</f>
        <v>0.00438290598290598</v>
      </c>
      <c r="AJ184" s="0" t="n">
        <f aca="false">$B184/AJ$1</f>
        <v>0.00425207296849088</v>
      </c>
      <c r="AK184" s="0" t="n">
        <f aca="false">$B184/AK$1</f>
        <v>0.00412882447665056</v>
      </c>
      <c r="AL184" s="0" t="n">
        <f aca="false">$B184/AL$1</f>
        <v>0.00401251956181534</v>
      </c>
      <c r="AM184" s="0" t="n">
        <f aca="false">$B184/AM$1</f>
        <v>0.00390258751902588</v>
      </c>
      <c r="AN184" s="0" t="n">
        <f aca="false">$B184/AN$1</f>
        <v>0.00379851851851852</v>
      </c>
      <c r="AO184" s="0" t="n">
        <f aca="false">$B184/AO$1</f>
        <v>0.0036998556998557</v>
      </c>
      <c r="AP184" s="0" t="n">
        <f aca="false">$B184/AP$1</f>
        <v>0.00360618846694796</v>
      </c>
      <c r="AQ184" s="0" t="n">
        <f aca="false">$B184/AQ$1</f>
        <v>0.00351714677640604</v>
      </c>
      <c r="AR184" s="0" t="n">
        <f aca="false">$B184/AR$1</f>
        <v>0.00343239625167336</v>
      </c>
      <c r="AS184" s="0" t="n">
        <f aca="false">$B184/AS$1</f>
        <v>0.00335163398692811</v>
      </c>
      <c r="AT184" s="0" t="n">
        <f aca="false">$B184/AT$1</f>
        <v>0.00327458492975734</v>
      </c>
      <c r="AU184" s="0" t="n">
        <f aca="false">$B184/AU$1</f>
        <v>0.00320099875156055</v>
      </c>
      <c r="AV184" s="0" t="n">
        <f aca="false">$B184/AV$1</f>
        <v>0.00313064713064713</v>
      </c>
      <c r="AW184" s="0" t="n">
        <f aca="false">$B184/AW$1</f>
        <v>0.00306332138590203</v>
      </c>
      <c r="AX184" s="0" t="n">
        <f aca="false">$B184/AX$1</f>
        <v>0.00299883040935673</v>
      </c>
      <c r="AY184" s="0" t="n">
        <f aca="false">$B184/AY$1</f>
        <v>0.00293699885452463</v>
      </c>
      <c r="AZ184" s="0" t="n">
        <f aca="false">$B184/AZ$1</f>
        <v>0.00287766554433221</v>
      </c>
      <c r="BA184" s="0" t="n">
        <f aca="false">$B184/BA$1</f>
        <v>0.00282068206820682</v>
      </c>
      <c r="BB184" s="0" t="n">
        <f aca="false">$B184/BB$1</f>
        <v>0.00276591154261057</v>
      </c>
      <c r="BC184" s="0" t="n">
        <f aca="false">$B184/BC$1</f>
        <v>0.00271322751322751</v>
      </c>
      <c r="BD184" s="0" t="n">
        <f aca="false">$B184/BD$1</f>
        <v>0.00266251298026999</v>
      </c>
      <c r="BE184" s="0" t="n">
        <f aca="false">$B184/BE$1</f>
        <v>0.00261365953109072</v>
      </c>
      <c r="BF184" s="0" t="n">
        <f aca="false">$B184/BF$1</f>
        <v>0.00256656656656657</v>
      </c>
      <c r="BG184" s="0" t="n">
        <f aca="false">$B184/BG$1</f>
        <v>0.00252114060963619</v>
      </c>
      <c r="BH184" s="0" t="n">
        <f aca="false">$B184/BH$1</f>
        <v>0.00247729468599034</v>
      </c>
      <c r="BI184" s="0" t="n">
        <f aca="false">$B184/BI$1</f>
        <v>0.0024349477682811</v>
      </c>
      <c r="BJ184" s="0" t="n">
        <f aca="false">$B184/BJ$1</f>
        <v>0.00239402427637722</v>
      </c>
      <c r="BL184" s="0" t="n">
        <f aca="false">IF($B$183=1,COUNTIF(C184:BJ184,"&gt;="&amp;$C$183),0)</f>
        <v>34</v>
      </c>
      <c r="BM184" s="0" t="n">
        <f aca="false">IF($B$183=1,IF(OR(BS184&gt;=Settings!$B$5,Settings!$C$14&gt;0),MAX(BL184,Settings!$C$14),0),0)</f>
        <v>34</v>
      </c>
      <c r="BN184" s="0" t="n">
        <f aca="false">IF($B$183=1,IF(OR(BS184&gt;=Settings!$B$5,Settings!$C$14&gt;0),MAX(0,(2*MAX(BL184,Settings!$C$14)+1)*$C$183-BS184),MAX(0,Settings!$B$5-BS184)),"")</f>
        <v>0.000311111111111095</v>
      </c>
      <c r="BO184" s="0" t="n">
        <f aca="false">IF($B$183=1,IF(OR(BS184&gt;=Settings!$B$5,Settings!$C$14&gt;0),IF(BL184&lt;=Settings!$C$14,"Protected by electorates",IF(Settings!$C$14=0,MIN(BS184-(2*BL184-1)*$D$183,BS184-Settings!$B$5),BS184-(2*BL184-1)*$D$183)),""),"")</f>
        <v>0.00825764895330111</v>
      </c>
      <c r="BP184" s="0" t="n">
        <f aca="false">IF($B$183=1,IF(OR(BS184&gt;=Settings!$B$5,Settings!$C$14&gt;0),MAX(0,MIN(1,(BS184/$C$183-(2*MAX(BL184,Settings!$C$14)-1))/2)),MIN(1,BS184/Settings!$B$5)),"")</f>
        <v>0.962365591397848</v>
      </c>
      <c r="BQ184" s="0" t="n">
        <f aca="false">IF(AND($B$183=1,COUNTIF(C184:BJ184,$C$183)&gt;0),1,0)</f>
        <v>0</v>
      </c>
      <c r="BR184" s="0" t="n">
        <f aca="false">IF(AND($B$183=1,COUNTIF(C184:BJ184,$D$183)&gt;0),1,0)</f>
        <v>1</v>
      </c>
      <c r="BS184" s="0" t="n">
        <f aca="false">N(IF(Polls!H26="",Polls!H37,Polls!H26))</f>
        <v>0.284888888888889</v>
      </c>
      <c r="BT184" s="0" t="str">
        <f aca="false">IF(OR(BS184&gt;=Settings!$B$5,Settings!$C$14&gt;0),"Next seat","Threshold")</f>
        <v>Next seat</v>
      </c>
    </row>
    <row r="185" customFormat="false" ht="15" hidden="false" customHeight="false" outlineLevel="0" collapsed="false">
      <c r="A185" s="0" t="s">
        <v>43</v>
      </c>
      <c r="B185" s="0" t="n">
        <f aca="false">IF(OR(BS185&gt;=Settings!$B$5,Settings!$C$15&gt;0),BS185,0)</f>
        <v>0.279333333333333</v>
      </c>
      <c r="C185" s="0" t="n">
        <f aca="false">$B185/C$1</f>
        <v>0.279333333333333</v>
      </c>
      <c r="D185" s="0" t="n">
        <f aca="false">$B185/D$1</f>
        <v>0.0931111111111111</v>
      </c>
      <c r="E185" s="0" t="n">
        <f aca="false">$B185/E$1</f>
        <v>0.0558666666666667</v>
      </c>
      <c r="F185" s="0" t="n">
        <f aca="false">$B185/F$1</f>
        <v>0.0399047619047619</v>
      </c>
      <c r="G185" s="0" t="n">
        <f aca="false">$B185/G$1</f>
        <v>0.031037037037037</v>
      </c>
      <c r="H185" s="0" t="n">
        <f aca="false">$B185/H$1</f>
        <v>0.0253939393939394</v>
      </c>
      <c r="I185" s="0" t="n">
        <f aca="false">$B185/I$1</f>
        <v>0.0214871794871795</v>
      </c>
      <c r="J185" s="0" t="n">
        <f aca="false">$B185/J$1</f>
        <v>0.0186222222222222</v>
      </c>
      <c r="K185" s="0" t="n">
        <f aca="false">$B185/K$1</f>
        <v>0.0164313725490196</v>
      </c>
      <c r="L185" s="0" t="n">
        <f aca="false">$B185/L$1</f>
        <v>0.0147017543859649</v>
      </c>
      <c r="M185" s="0" t="n">
        <f aca="false">$B185/M$1</f>
        <v>0.0133015873015873</v>
      </c>
      <c r="N185" s="0" t="n">
        <f aca="false">$B185/N$1</f>
        <v>0.0121449275362319</v>
      </c>
      <c r="O185" s="0" t="n">
        <f aca="false">$B185/O$1</f>
        <v>0.0111733333333333</v>
      </c>
      <c r="P185" s="0" t="n">
        <f aca="false">$B185/P$1</f>
        <v>0.0103456790123457</v>
      </c>
      <c r="Q185" s="0" t="n">
        <f aca="false">$B185/Q$1</f>
        <v>0.00963218390804598</v>
      </c>
      <c r="R185" s="0" t="n">
        <f aca="false">$B185/R$1</f>
        <v>0.00901075268817204</v>
      </c>
      <c r="S185" s="0" t="n">
        <f aca="false">$B185/S$1</f>
        <v>0.00846464646464647</v>
      </c>
      <c r="T185" s="0" t="n">
        <f aca="false">$B185/T$1</f>
        <v>0.00798095238095238</v>
      </c>
      <c r="U185" s="0" t="n">
        <f aca="false">$B185/U$1</f>
        <v>0.00754954954954955</v>
      </c>
      <c r="V185" s="0" t="n">
        <f aca="false">$B185/V$1</f>
        <v>0.00716239316239316</v>
      </c>
      <c r="W185" s="0" t="n">
        <f aca="false">$B185/W$1</f>
        <v>0.0068130081300813</v>
      </c>
      <c r="X185" s="0" t="n">
        <f aca="false">$B185/X$1</f>
        <v>0.00649612403100775</v>
      </c>
      <c r="Y185" s="0" t="n">
        <f aca="false">$B185/Y$1</f>
        <v>0.00620740740740741</v>
      </c>
      <c r="Z185" s="0" t="n">
        <f aca="false">$B185/Z$1</f>
        <v>0.00594326241134752</v>
      </c>
      <c r="AA185" s="0" t="n">
        <f aca="false">$B185/AA$1</f>
        <v>0.00570068027210885</v>
      </c>
      <c r="AB185" s="0" t="n">
        <f aca="false">$B185/AB$1</f>
        <v>0.00547712418300654</v>
      </c>
      <c r="AC185" s="0" t="n">
        <f aca="false">$B185/AC$1</f>
        <v>0.00527044025157233</v>
      </c>
      <c r="AD185" s="0" t="n">
        <f aca="false">$B185/AD$1</f>
        <v>0.00507878787878788</v>
      </c>
      <c r="AE185" s="0" t="n">
        <f aca="false">$B185/AE$1</f>
        <v>0.00490058479532164</v>
      </c>
      <c r="AF185" s="0" t="n">
        <f aca="false">$B185/AF$1</f>
        <v>0.00473446327683616</v>
      </c>
      <c r="AG185" s="0" t="n">
        <f aca="false">$B185/AG$1</f>
        <v>0.0045792349726776</v>
      </c>
      <c r="AH185" s="0" t="n">
        <f aca="false">$B185/AH$1</f>
        <v>0.00443386243386244</v>
      </c>
      <c r="AI185" s="0" t="n">
        <f aca="false">$B185/AI$1</f>
        <v>0.0042974358974359</v>
      </c>
      <c r="AJ185" s="0" t="n">
        <f aca="false">$B185/AJ$1</f>
        <v>0.00416915422885572</v>
      </c>
      <c r="AK185" s="0" t="n">
        <f aca="false">$B185/AK$1</f>
        <v>0.00404830917874396</v>
      </c>
      <c r="AL185" s="0" t="n">
        <f aca="false">$B185/AL$1</f>
        <v>0.00393427230046948</v>
      </c>
      <c r="AM185" s="0" t="n">
        <f aca="false">$B185/AM$1</f>
        <v>0.00382648401826484</v>
      </c>
      <c r="AN185" s="0" t="n">
        <f aca="false">$B185/AN$1</f>
        <v>0.00372444444444445</v>
      </c>
      <c r="AO185" s="0" t="n">
        <f aca="false">$B185/AO$1</f>
        <v>0.00362770562770563</v>
      </c>
      <c r="AP185" s="0" t="n">
        <f aca="false">$B185/AP$1</f>
        <v>0.00353586497890295</v>
      </c>
      <c r="AQ185" s="0" t="n">
        <f aca="false">$B185/AQ$1</f>
        <v>0.00344855967078189</v>
      </c>
      <c r="AR185" s="0" t="n">
        <f aca="false">$B185/AR$1</f>
        <v>0.00336546184738956</v>
      </c>
      <c r="AS185" s="0" t="n">
        <f aca="false">$B185/AS$1</f>
        <v>0.00328627450980392</v>
      </c>
      <c r="AT185" s="0" t="n">
        <f aca="false">$B185/AT$1</f>
        <v>0.00321072796934866</v>
      </c>
      <c r="AU185" s="0" t="n">
        <f aca="false">$B185/AU$1</f>
        <v>0.00313857677902622</v>
      </c>
      <c r="AV185" s="0" t="n">
        <f aca="false">$B185/AV$1</f>
        <v>0.00306959706959707</v>
      </c>
      <c r="AW185" s="0" t="n">
        <f aca="false">$B185/AW$1</f>
        <v>0.00300358422939068</v>
      </c>
      <c r="AX185" s="0" t="n">
        <f aca="false">$B185/AX$1</f>
        <v>0.00294035087719298</v>
      </c>
      <c r="AY185" s="0" t="n">
        <f aca="false">$B185/AY$1</f>
        <v>0.00287972508591065</v>
      </c>
      <c r="AZ185" s="0" t="n">
        <f aca="false">$B185/AZ$1</f>
        <v>0.00282154882154882</v>
      </c>
      <c r="BA185" s="0" t="n">
        <f aca="false">$B185/BA$1</f>
        <v>0.00276567656765677</v>
      </c>
      <c r="BB185" s="0" t="n">
        <f aca="false">$B185/BB$1</f>
        <v>0.00271197411003236</v>
      </c>
      <c r="BC185" s="0" t="n">
        <f aca="false">$B185/BC$1</f>
        <v>0.00266031746031746</v>
      </c>
      <c r="BD185" s="0" t="n">
        <f aca="false">$B185/BD$1</f>
        <v>0.00261059190031153</v>
      </c>
      <c r="BE185" s="0" t="n">
        <f aca="false">$B185/BE$1</f>
        <v>0.00256269113149847</v>
      </c>
      <c r="BF185" s="0" t="n">
        <f aca="false">$B185/BF$1</f>
        <v>0.00251651651651652</v>
      </c>
      <c r="BG185" s="0" t="n">
        <f aca="false">$B185/BG$1</f>
        <v>0.00247197640117994</v>
      </c>
      <c r="BH185" s="0" t="n">
        <f aca="false">$B185/BH$1</f>
        <v>0.00242898550724638</v>
      </c>
      <c r="BI185" s="0" t="n">
        <f aca="false">$B185/BI$1</f>
        <v>0.00238746438746439</v>
      </c>
      <c r="BJ185" s="0" t="n">
        <f aca="false">$B185/BJ$1</f>
        <v>0.00234733893557423</v>
      </c>
      <c r="BL185" s="0" t="n">
        <f aca="false">IF($B$183=1,COUNTIF(C185:BJ185,"&gt;="&amp;$C$183),0)</f>
        <v>34</v>
      </c>
      <c r="BM185" s="0" t="n">
        <f aca="false">IF($B$183=1,IF(OR(BS185&gt;=Settings!$B$5,Settings!$C$15&gt;0),MAX(BL185,Settings!$C$15),0),0)</f>
        <v>34</v>
      </c>
      <c r="BN185" s="0" t="n">
        <f aca="false">IF($B$183=1,IF(OR(BS185&gt;=Settings!$B$5,Settings!$C$15&gt;0),MAX(0,(2*MAX(BL185,Settings!$C$15)+1)*$C$183-BS185),MAX(0,Settings!$B$5-BS185)),"")</f>
        <v>0.00586666666666663</v>
      </c>
      <c r="BO185" s="0" t="n">
        <f aca="false">IF($B$183=1,IF(OR(BS185&gt;=Settings!$B$5,Settings!$C$15&gt;0),IF(BL185&lt;=Settings!$C$15,"Protected by electorates",IF(Settings!$C$15=0,MIN(BS185-(2*BL185-1)*$D$183,BS185-Settings!$B$5),BS185-(2*BL185-1)*$D$183)),""),"")</f>
        <v>0.00270209339774558</v>
      </c>
      <c r="BP185" s="0" t="n">
        <f aca="false">IF($B$183=1,IF(OR(BS185&gt;=Settings!$B$5,Settings!$C$15&gt;0),MAX(0,MIN(1,(BS185/$C$183-(2*MAX(BL185,Settings!$C$15)-1))/2)),MIN(1,BS185/Settings!$B$5)),"")</f>
        <v>0.290322580645167</v>
      </c>
      <c r="BQ185" s="0" t="n">
        <f aca="false">IF(AND($B$183=1,COUNTIF(C185:BJ185,$C$183)&gt;0),1,0)</f>
        <v>0</v>
      </c>
      <c r="BR185" s="0" t="n">
        <f aca="false">IF(AND($B$183=1,COUNTIF(C185:BJ185,$D$183)&gt;0),1,0)</f>
        <v>0</v>
      </c>
      <c r="BS185" s="0" t="n">
        <f aca="false">N(IF(Polls!I26="",Polls!I37,Polls!I26))</f>
        <v>0.279333333333333</v>
      </c>
      <c r="BT185" s="0" t="str">
        <f aca="false">IF(OR(BS185&gt;=Settings!$B$5,Settings!$C$15&gt;0),"Next seat","Threshold")</f>
        <v>Next seat</v>
      </c>
    </row>
    <row r="186" customFormat="false" ht="15" hidden="false" customHeight="false" outlineLevel="0" collapsed="false">
      <c r="A186" s="0" t="s">
        <v>45</v>
      </c>
      <c r="B186" s="0" t="n">
        <f aca="false">IF(OR(BS186&gt;=Settings!$B$5,Settings!$C$16&gt;0),BS186,0)</f>
        <v>0.145555555555556</v>
      </c>
      <c r="C186" s="0" t="n">
        <f aca="false">$B186/C$1</f>
        <v>0.145555555555556</v>
      </c>
      <c r="D186" s="0" t="n">
        <f aca="false">$B186/D$1</f>
        <v>0.0485185185185185</v>
      </c>
      <c r="E186" s="0" t="n">
        <f aca="false">$B186/E$1</f>
        <v>0.0291111111111111</v>
      </c>
      <c r="F186" s="0" t="n">
        <f aca="false">$B186/F$1</f>
        <v>0.0207936507936508</v>
      </c>
      <c r="G186" s="0" t="n">
        <f aca="false">$B186/G$1</f>
        <v>0.0161728395061728</v>
      </c>
      <c r="H186" s="0" t="n">
        <f aca="false">$B186/H$1</f>
        <v>0.0132323232323232</v>
      </c>
      <c r="I186" s="0" t="n">
        <f aca="false">$B186/I$1</f>
        <v>0.0111965811965812</v>
      </c>
      <c r="J186" s="0" t="n">
        <f aca="false">$B186/J$1</f>
        <v>0.0097037037037037</v>
      </c>
      <c r="K186" s="0" t="n">
        <f aca="false">$B186/K$1</f>
        <v>0.00856209150326797</v>
      </c>
      <c r="L186" s="0" t="n">
        <f aca="false">$B186/L$1</f>
        <v>0.00766081871345029</v>
      </c>
      <c r="M186" s="0" t="n">
        <f aca="false">$B186/M$1</f>
        <v>0.00693121693121693</v>
      </c>
      <c r="N186" s="0" t="n">
        <f aca="false">$B186/N$1</f>
        <v>0.00632850241545894</v>
      </c>
      <c r="O186" s="0" t="n">
        <f aca="false">$B186/O$1</f>
        <v>0.00582222222222222</v>
      </c>
      <c r="P186" s="0" t="n">
        <f aca="false">$B186/P$1</f>
        <v>0.00539094650205761</v>
      </c>
      <c r="Q186" s="0" t="n">
        <f aca="false">$B186/Q$1</f>
        <v>0.00501915708812261</v>
      </c>
      <c r="R186" s="0" t="n">
        <f aca="false">$B186/R$1</f>
        <v>0.00469534050179212</v>
      </c>
      <c r="S186" s="0" t="n">
        <f aca="false">$B186/S$1</f>
        <v>0.00441077441077441</v>
      </c>
      <c r="T186" s="0" t="n">
        <f aca="false">$B186/T$1</f>
        <v>0.00415873015873016</v>
      </c>
      <c r="U186" s="0" t="n">
        <f aca="false">$B186/U$1</f>
        <v>0.00393393393393393</v>
      </c>
      <c r="V186" s="0" t="n">
        <f aca="false">$B186/V$1</f>
        <v>0.00373219373219373</v>
      </c>
      <c r="W186" s="0" t="n">
        <f aca="false">$B186/W$1</f>
        <v>0.00355013550135501</v>
      </c>
      <c r="X186" s="0" t="n">
        <f aca="false">$B186/X$1</f>
        <v>0.00338501291989664</v>
      </c>
      <c r="Y186" s="0" t="n">
        <f aca="false">$B186/Y$1</f>
        <v>0.00323456790123457</v>
      </c>
      <c r="Z186" s="0" t="n">
        <f aca="false">$B186/Z$1</f>
        <v>0.00309692671394799</v>
      </c>
      <c r="AA186" s="0" t="n">
        <f aca="false">$B186/AA$1</f>
        <v>0.00297052154195011</v>
      </c>
      <c r="AB186" s="0" t="n">
        <f aca="false">$B186/AB$1</f>
        <v>0.00285403050108932</v>
      </c>
      <c r="AC186" s="0" t="n">
        <f aca="false">$B186/AC$1</f>
        <v>0.00274633123689727</v>
      </c>
      <c r="AD186" s="0" t="n">
        <f aca="false">$B186/AD$1</f>
        <v>0.00264646464646465</v>
      </c>
      <c r="AE186" s="0" t="n">
        <f aca="false">$B186/AE$1</f>
        <v>0.00255360623781676</v>
      </c>
      <c r="AF186" s="0" t="n">
        <f aca="false">$B186/AF$1</f>
        <v>0.00246704331450094</v>
      </c>
      <c r="AG186" s="0" t="n">
        <f aca="false">$B186/AG$1</f>
        <v>0.00238615664845173</v>
      </c>
      <c r="AH186" s="0" t="n">
        <f aca="false">$B186/AH$1</f>
        <v>0.00231040564373898</v>
      </c>
      <c r="AI186" s="0" t="n">
        <f aca="false">$B186/AI$1</f>
        <v>0.00223931623931624</v>
      </c>
      <c r="AJ186" s="0" t="n">
        <f aca="false">$B186/AJ$1</f>
        <v>0.00217247097844113</v>
      </c>
      <c r="AK186" s="0" t="n">
        <f aca="false">$B186/AK$1</f>
        <v>0.00210950080515298</v>
      </c>
      <c r="AL186" s="0" t="n">
        <f aca="false">$B186/AL$1</f>
        <v>0.00205007824726135</v>
      </c>
      <c r="AM186" s="0" t="n">
        <f aca="false">$B186/AM$1</f>
        <v>0.00199391171993912</v>
      </c>
      <c r="AN186" s="0" t="n">
        <f aca="false">$B186/AN$1</f>
        <v>0.00194074074074074</v>
      </c>
      <c r="AO186" s="0" t="n">
        <f aca="false">$B186/AO$1</f>
        <v>0.00189033189033189</v>
      </c>
      <c r="AP186" s="0" t="n">
        <f aca="false">$B186/AP$1</f>
        <v>0.00184247538677918</v>
      </c>
      <c r="AQ186" s="0" t="n">
        <f aca="false">$B186/AQ$1</f>
        <v>0.00179698216735254</v>
      </c>
      <c r="AR186" s="0" t="n">
        <f aca="false">$B186/AR$1</f>
        <v>0.00175368139223561</v>
      </c>
      <c r="AS186" s="0" t="n">
        <f aca="false">$B186/AS$1</f>
        <v>0.00171241830065359</v>
      </c>
      <c r="AT186" s="0" t="n">
        <f aca="false">$B186/AT$1</f>
        <v>0.00167305236270754</v>
      </c>
      <c r="AU186" s="0" t="n">
        <f aca="false">$B186/AU$1</f>
        <v>0.0016354556803995</v>
      </c>
      <c r="AV186" s="0" t="n">
        <f aca="false">$B186/AV$1</f>
        <v>0.0015995115995116</v>
      </c>
      <c r="AW186" s="0" t="n">
        <f aca="false">$B186/AW$1</f>
        <v>0.00156511350059737</v>
      </c>
      <c r="AX186" s="0" t="n">
        <f aca="false">$B186/AX$1</f>
        <v>0.00153216374269006</v>
      </c>
      <c r="AY186" s="0" t="n">
        <f aca="false">$B186/AY$1</f>
        <v>0.00150057273768614</v>
      </c>
      <c r="AZ186" s="0" t="n">
        <f aca="false">$B186/AZ$1</f>
        <v>0.0014702581369248</v>
      </c>
      <c r="BA186" s="0" t="n">
        <f aca="false">$B186/BA$1</f>
        <v>0.00144114411441144</v>
      </c>
      <c r="BB186" s="0" t="n">
        <f aca="false">$B186/BB$1</f>
        <v>0.00141316073354908</v>
      </c>
      <c r="BC186" s="0" t="n">
        <f aca="false">$B186/BC$1</f>
        <v>0.00138624338624339</v>
      </c>
      <c r="BD186" s="0" t="n">
        <f aca="false">$B186/BD$1</f>
        <v>0.00136033229491173</v>
      </c>
      <c r="BE186" s="0" t="n">
        <f aca="false">$B186/BE$1</f>
        <v>0.00133537206931702</v>
      </c>
      <c r="BF186" s="0" t="n">
        <f aca="false">$B186/BF$1</f>
        <v>0.00131131131131131</v>
      </c>
      <c r="BG186" s="0" t="n">
        <f aca="false">$B186/BG$1</f>
        <v>0.00128810226155359</v>
      </c>
      <c r="BH186" s="0" t="n">
        <f aca="false">$B186/BH$1</f>
        <v>0.00126570048309179</v>
      </c>
      <c r="BI186" s="0" t="n">
        <f aca="false">$B186/BI$1</f>
        <v>0.00124406457739791</v>
      </c>
      <c r="BJ186" s="0" t="n">
        <f aca="false">$B186/BJ$1</f>
        <v>0.00122315592903828</v>
      </c>
      <c r="BL186" s="0" t="n">
        <f aca="false">IF($B$183=1,COUNTIF(C186:BJ186,"&gt;="&amp;$C$183),0)</f>
        <v>18</v>
      </c>
      <c r="BM186" s="0" t="n">
        <f aca="false">IF($B$183=1,IF(OR(BS186&gt;=Settings!$B$5,Settings!$C$16&gt;0),MAX(BL186,Settings!$C$16),0),0)</f>
        <v>18</v>
      </c>
      <c r="BN186" s="0" t="n">
        <f aca="false">IF($B$183=1,IF(OR(BS186&gt;=Settings!$B$5,Settings!$C$16&gt;0),MAX(0,(2*MAX(BL186,Settings!$C$16)+1)*$C$183-BS186),MAX(0,Settings!$B$5-BS186)),"")</f>
        <v>0.00737777777777779</v>
      </c>
      <c r="BO186" s="0" t="n">
        <f aca="false">IF($B$183=1,IF(OR(BS186&gt;=Settings!$B$5,Settings!$C$16&gt;0),IF(BL186&lt;=Settings!$C$16,"Protected by electorates",IF(Settings!$C$16=0,MIN(BS186-(2*BL186-1)*$D$183,BS186-Settings!$B$5),BS186-(2*BL186-1)*$D$183)),""),"")</f>
        <v>0.0010466988727858</v>
      </c>
      <c r="BP186" s="0" t="n">
        <f aca="false">IF($B$183=1,IF(OR(BS186&gt;=Settings!$B$5,Settings!$C$16&gt;0),MAX(0,MIN(1,(BS186/$C$183-(2*MAX(BL186,Settings!$C$16)-1))/2)),MIN(1,BS186/Settings!$B$5)),"")</f>
        <v>0.107526881720428</v>
      </c>
      <c r="BQ186" s="0" t="n">
        <f aca="false">IF(AND($B$183=1,COUNTIF(C186:BJ186,$C$183)&gt;0),1,0)</f>
        <v>0</v>
      </c>
      <c r="BR186" s="0" t="n">
        <f aca="false">IF(AND($B$183=1,COUNTIF(C186:BJ186,$D$183)&gt;0),1,0)</f>
        <v>0</v>
      </c>
      <c r="BS186" s="0" t="n">
        <f aca="false">N(IF(Polls!J26="",Polls!J37,Polls!J26))</f>
        <v>0.145555555555556</v>
      </c>
      <c r="BT186" s="0" t="str">
        <f aca="false">IF(OR(BS186&gt;=Settings!$B$5,Settings!$C$16&gt;0),"Next seat","Threshold")</f>
        <v>Next seat</v>
      </c>
    </row>
    <row r="187" customFormat="false" ht="15" hidden="false" customHeight="false" outlineLevel="0" collapsed="false">
      <c r="A187" s="0" t="s">
        <v>46</v>
      </c>
      <c r="B187" s="0" t="n">
        <f aca="false">IF(OR(BS187&gt;=Settings!$B$5,Settings!$C$17&gt;0),BS187,0)</f>
        <v>0.0963333333333333</v>
      </c>
      <c r="C187" s="0" t="n">
        <f aca="false">$B187/C$1</f>
        <v>0.0963333333333333</v>
      </c>
      <c r="D187" s="0" t="n">
        <f aca="false">$B187/D$1</f>
        <v>0.0321111111111111</v>
      </c>
      <c r="E187" s="0" t="n">
        <f aca="false">$B187/E$1</f>
        <v>0.0192666666666667</v>
      </c>
      <c r="F187" s="0" t="n">
        <f aca="false">$B187/F$1</f>
        <v>0.0137619047619048</v>
      </c>
      <c r="G187" s="0" t="n">
        <f aca="false">$B187/G$1</f>
        <v>0.0107037037037037</v>
      </c>
      <c r="H187" s="0" t="n">
        <f aca="false">$B187/H$1</f>
        <v>0.00875757575757576</v>
      </c>
      <c r="I187" s="0" t="n">
        <f aca="false">$B187/I$1</f>
        <v>0.00741025641025641</v>
      </c>
      <c r="J187" s="0" t="n">
        <f aca="false">$B187/J$1</f>
        <v>0.00642222222222222</v>
      </c>
      <c r="K187" s="0" t="n">
        <f aca="false">$B187/K$1</f>
        <v>0.00566666666666667</v>
      </c>
      <c r="L187" s="0" t="n">
        <f aca="false">$B187/L$1</f>
        <v>0.00507017543859649</v>
      </c>
      <c r="M187" s="0" t="n">
        <f aca="false">$B187/M$1</f>
        <v>0.00458730158730159</v>
      </c>
      <c r="N187" s="0" t="n">
        <f aca="false">$B187/N$1</f>
        <v>0.00418840579710145</v>
      </c>
      <c r="O187" s="0" t="n">
        <f aca="false">$B187/O$1</f>
        <v>0.00385333333333333</v>
      </c>
      <c r="P187" s="0" t="n">
        <f aca="false">$B187/P$1</f>
        <v>0.0035679012345679</v>
      </c>
      <c r="Q187" s="0" t="n">
        <f aca="false">$B187/Q$1</f>
        <v>0.00332183908045977</v>
      </c>
      <c r="R187" s="0" t="n">
        <f aca="false">$B187/R$1</f>
        <v>0.00310752688172043</v>
      </c>
      <c r="S187" s="0" t="n">
        <f aca="false">$B187/S$1</f>
        <v>0.00291919191919192</v>
      </c>
      <c r="T187" s="0" t="n">
        <f aca="false">$B187/T$1</f>
        <v>0.00275238095238095</v>
      </c>
      <c r="U187" s="0" t="n">
        <f aca="false">$B187/U$1</f>
        <v>0.0026036036036036</v>
      </c>
      <c r="V187" s="0" t="n">
        <f aca="false">$B187/V$1</f>
        <v>0.00247008547008547</v>
      </c>
      <c r="W187" s="0" t="n">
        <f aca="false">$B187/W$1</f>
        <v>0.00234959349593496</v>
      </c>
      <c r="X187" s="0" t="n">
        <f aca="false">$B187/X$1</f>
        <v>0.00224031007751938</v>
      </c>
      <c r="Y187" s="0" t="n">
        <f aca="false">$B187/Y$1</f>
        <v>0.00214074074074074</v>
      </c>
      <c r="Z187" s="0" t="n">
        <f aca="false">$B187/Z$1</f>
        <v>0.00204964539007092</v>
      </c>
      <c r="AA187" s="0" t="n">
        <f aca="false">$B187/AA$1</f>
        <v>0.00196598639455782</v>
      </c>
      <c r="AB187" s="0" t="n">
        <f aca="false">$B187/AB$1</f>
        <v>0.00188888888888889</v>
      </c>
      <c r="AC187" s="0" t="n">
        <f aca="false">$B187/AC$1</f>
        <v>0.00181761006289308</v>
      </c>
      <c r="AD187" s="0" t="n">
        <f aca="false">$B187/AD$1</f>
        <v>0.00175151515151515</v>
      </c>
      <c r="AE187" s="0" t="n">
        <f aca="false">$B187/AE$1</f>
        <v>0.00169005847953216</v>
      </c>
      <c r="AF187" s="0" t="n">
        <f aca="false">$B187/AF$1</f>
        <v>0.00163276836158192</v>
      </c>
      <c r="AG187" s="0" t="n">
        <f aca="false">$B187/AG$1</f>
        <v>0.0015792349726776</v>
      </c>
      <c r="AH187" s="0" t="n">
        <f aca="false">$B187/AH$1</f>
        <v>0.00152910052910053</v>
      </c>
      <c r="AI187" s="0" t="n">
        <f aca="false">$B187/AI$1</f>
        <v>0.00148205128205128</v>
      </c>
      <c r="AJ187" s="0" t="n">
        <f aca="false">$B187/AJ$1</f>
        <v>0.00143781094527363</v>
      </c>
      <c r="AK187" s="0" t="n">
        <f aca="false">$B187/AK$1</f>
        <v>0.00139613526570048</v>
      </c>
      <c r="AL187" s="0" t="n">
        <f aca="false">$B187/AL$1</f>
        <v>0.00135680751173709</v>
      </c>
      <c r="AM187" s="0" t="n">
        <f aca="false">$B187/AM$1</f>
        <v>0.00131963470319635</v>
      </c>
      <c r="AN187" s="0" t="n">
        <f aca="false">$B187/AN$1</f>
        <v>0.00128444444444444</v>
      </c>
      <c r="AO187" s="0" t="n">
        <f aca="false">$B187/AO$1</f>
        <v>0.00125108225108225</v>
      </c>
      <c r="AP187" s="0" t="n">
        <f aca="false">$B187/AP$1</f>
        <v>0.00121940928270042</v>
      </c>
      <c r="AQ187" s="0" t="n">
        <f aca="false">$B187/AQ$1</f>
        <v>0.00118930041152263</v>
      </c>
      <c r="AR187" s="0" t="n">
        <f aca="false">$B187/AR$1</f>
        <v>0.00116064257028112</v>
      </c>
      <c r="AS187" s="0" t="n">
        <f aca="false">$B187/AS$1</f>
        <v>0.00113333333333333</v>
      </c>
      <c r="AT187" s="0" t="n">
        <f aca="false">$B187/AT$1</f>
        <v>0.00110727969348659</v>
      </c>
      <c r="AU187" s="0" t="n">
        <f aca="false">$B187/AU$1</f>
        <v>0.00108239700374532</v>
      </c>
      <c r="AV187" s="0" t="n">
        <f aca="false">$B187/AV$1</f>
        <v>0.00105860805860806</v>
      </c>
      <c r="AW187" s="0" t="n">
        <f aca="false">$B187/AW$1</f>
        <v>0.00103584229390681</v>
      </c>
      <c r="AX187" s="0" t="n">
        <f aca="false">$B187/AX$1</f>
        <v>0.0010140350877193</v>
      </c>
      <c r="AY187" s="0" t="n">
        <f aca="false">$B187/AY$1</f>
        <v>0.000993127147766323</v>
      </c>
      <c r="AZ187" s="0" t="n">
        <f aca="false">$B187/AZ$1</f>
        <v>0.000973063973063973</v>
      </c>
      <c r="BA187" s="0" t="n">
        <f aca="false">$B187/BA$1</f>
        <v>0.000953795379537954</v>
      </c>
      <c r="BB187" s="0" t="n">
        <f aca="false">$B187/BB$1</f>
        <v>0.000935275080906149</v>
      </c>
      <c r="BC187" s="0" t="n">
        <f aca="false">$B187/BC$1</f>
        <v>0.000917460317460317</v>
      </c>
      <c r="BD187" s="0" t="n">
        <f aca="false">$B187/BD$1</f>
        <v>0.000900311526479751</v>
      </c>
      <c r="BE187" s="0" t="n">
        <f aca="false">$B187/BE$1</f>
        <v>0.000883792048929664</v>
      </c>
      <c r="BF187" s="0" t="n">
        <f aca="false">$B187/BF$1</f>
        <v>0.000867867867867868</v>
      </c>
      <c r="BG187" s="0" t="n">
        <f aca="false">$B187/BG$1</f>
        <v>0.000852507374631268</v>
      </c>
      <c r="BH187" s="0" t="n">
        <f aca="false">$B187/BH$1</f>
        <v>0.00083768115942029</v>
      </c>
      <c r="BI187" s="0" t="n">
        <f aca="false">$B187/BI$1</f>
        <v>0.000823361823361823</v>
      </c>
      <c r="BJ187" s="0" t="n">
        <f aca="false">$B187/BJ$1</f>
        <v>0.00080952380952381</v>
      </c>
      <c r="BL187" s="0" t="n">
        <f aca="false">IF($B$183=1,COUNTIF(C187:BJ187,"&gt;="&amp;$C$183),0)</f>
        <v>12</v>
      </c>
      <c r="BM187" s="0" t="n">
        <f aca="false">IF($B$183=1,IF(OR(BS187&gt;=Settings!$B$5,Settings!$C$17&gt;0),MAX(BL187,Settings!$C$17),0),0)</f>
        <v>12</v>
      </c>
      <c r="BN187" s="0" t="n">
        <f aca="false">IF($B$183=1,IF(OR(BS187&gt;=Settings!$B$5,Settings!$C$17&gt;0),MAX(0,(2*MAX(BL187,Settings!$C$17)+1)*$C$183-BS187),MAX(0,Settings!$B$5-BS187)),"")</f>
        <v>0.00700000000000001</v>
      </c>
      <c r="BO187" s="0" t="n">
        <f aca="false">IF($B$183=1,IF(OR(BS187&gt;=Settings!$B$5,Settings!$C$17&gt;0),IF(BL187&lt;=Settings!$C$17,"Protected by electorates",IF(Settings!$C$17=0,MIN(BS187-(2*BL187-1)*$D$183,BS187-Settings!$B$5),BS187-(2*BL187-1)*$D$183)),""),"")</f>
        <v>0.00137037037037036</v>
      </c>
      <c r="BP187" s="0" t="n">
        <f aca="false">IF($B$183=1,IF(OR(BS187&gt;=Settings!$B$5,Settings!$C$17&gt;0),MAX(0,MIN(1,(BS187/$C$183-(2*MAX(BL187,Settings!$C$17)-1))/2)),MIN(1,BS187/Settings!$B$5)),"")</f>
        <v>0.153225806451612</v>
      </c>
      <c r="BQ187" s="0" t="n">
        <f aca="false">IF(AND($B$183=1,COUNTIF(C187:BJ187,$C$183)&gt;0),1,0)</f>
        <v>0</v>
      </c>
      <c r="BR187" s="0" t="n">
        <f aca="false">IF(AND($B$183=1,COUNTIF(C187:BJ187,$D$183)&gt;0),1,0)</f>
        <v>0</v>
      </c>
      <c r="BS187" s="0" t="n">
        <f aca="false">N(IF(Polls!K26="",Polls!K37,Polls!K26))</f>
        <v>0.0963333333333333</v>
      </c>
      <c r="BT187" s="0" t="str">
        <f aca="false">IF(OR(BS187&gt;=Settings!$B$5,Settings!$C$17&gt;0),"Next seat","Threshold")</f>
        <v>Next seat</v>
      </c>
    </row>
    <row r="188" customFormat="false" ht="15" hidden="false" customHeight="false" outlineLevel="0" collapsed="false">
      <c r="A188" s="0" t="s">
        <v>48</v>
      </c>
      <c r="B188" s="0" t="n">
        <f aca="false">IF(OR(BS188&gt;=Settings!$B$5,Settings!$C$18&gt;0),BS188,0)</f>
        <v>0.103333333333333</v>
      </c>
      <c r="C188" s="0" t="n">
        <f aca="false">$B188/C$1</f>
        <v>0.103333333333333</v>
      </c>
      <c r="D188" s="0" t="n">
        <f aca="false">$B188/D$1</f>
        <v>0.0344444444444444</v>
      </c>
      <c r="E188" s="0" t="n">
        <f aca="false">$B188/E$1</f>
        <v>0.0206666666666667</v>
      </c>
      <c r="F188" s="0" t="n">
        <f aca="false">$B188/F$1</f>
        <v>0.0147619047619048</v>
      </c>
      <c r="G188" s="0" t="n">
        <f aca="false">$B188/G$1</f>
        <v>0.0114814814814815</v>
      </c>
      <c r="H188" s="0" t="n">
        <f aca="false">$B188/H$1</f>
        <v>0.00939393939393939</v>
      </c>
      <c r="I188" s="0" t="n">
        <f aca="false">$B188/I$1</f>
        <v>0.00794871794871795</v>
      </c>
      <c r="J188" s="0" t="n">
        <f aca="false">$B188/J$1</f>
        <v>0.00688888888888889</v>
      </c>
      <c r="K188" s="0" t="n">
        <f aca="false">$B188/K$1</f>
        <v>0.00607843137254902</v>
      </c>
      <c r="L188" s="0" t="n">
        <f aca="false">$B188/L$1</f>
        <v>0.00543859649122807</v>
      </c>
      <c r="M188" s="0" t="n">
        <f aca="false">$B188/M$1</f>
        <v>0.00492063492063492</v>
      </c>
      <c r="N188" s="0" t="n">
        <f aca="false">$B188/N$1</f>
        <v>0.00449275362318841</v>
      </c>
      <c r="O188" s="0" t="n">
        <f aca="false">$B188/O$1</f>
        <v>0.00413333333333333</v>
      </c>
      <c r="P188" s="0" t="n">
        <f aca="false">$B188/P$1</f>
        <v>0.00382716049382716</v>
      </c>
      <c r="Q188" s="0" t="n">
        <f aca="false">$B188/Q$1</f>
        <v>0.0035632183908046</v>
      </c>
      <c r="R188" s="0" t="n">
        <f aca="false">$B188/R$1</f>
        <v>0.00333333333333333</v>
      </c>
      <c r="S188" s="0" t="n">
        <f aca="false">$B188/S$1</f>
        <v>0.00313131313131313</v>
      </c>
      <c r="T188" s="0" t="n">
        <f aca="false">$B188/T$1</f>
        <v>0.00295238095238095</v>
      </c>
      <c r="U188" s="0" t="n">
        <f aca="false">$B188/U$1</f>
        <v>0.00279279279279279</v>
      </c>
      <c r="V188" s="0" t="n">
        <f aca="false">$B188/V$1</f>
        <v>0.00264957264957265</v>
      </c>
      <c r="W188" s="0" t="n">
        <f aca="false">$B188/W$1</f>
        <v>0.00252032520325203</v>
      </c>
      <c r="X188" s="0" t="n">
        <f aca="false">$B188/X$1</f>
        <v>0.0024031007751938</v>
      </c>
      <c r="Y188" s="0" t="n">
        <f aca="false">$B188/Y$1</f>
        <v>0.0022962962962963</v>
      </c>
      <c r="Z188" s="0" t="n">
        <f aca="false">$B188/Z$1</f>
        <v>0.00219858156028369</v>
      </c>
      <c r="AA188" s="0" t="n">
        <f aca="false">$B188/AA$1</f>
        <v>0.00210884353741497</v>
      </c>
      <c r="AB188" s="0" t="n">
        <f aca="false">$B188/AB$1</f>
        <v>0.00202614379084967</v>
      </c>
      <c r="AC188" s="0" t="n">
        <f aca="false">$B188/AC$1</f>
        <v>0.0019496855345912</v>
      </c>
      <c r="AD188" s="0" t="n">
        <f aca="false">$B188/AD$1</f>
        <v>0.00187878787878788</v>
      </c>
      <c r="AE188" s="0" t="n">
        <f aca="false">$B188/AE$1</f>
        <v>0.00181286549707602</v>
      </c>
      <c r="AF188" s="0" t="n">
        <f aca="false">$B188/AF$1</f>
        <v>0.00175141242937853</v>
      </c>
      <c r="AG188" s="0" t="n">
        <f aca="false">$B188/AG$1</f>
        <v>0.00169398907103825</v>
      </c>
      <c r="AH188" s="0" t="n">
        <f aca="false">$B188/AH$1</f>
        <v>0.00164021164021164</v>
      </c>
      <c r="AI188" s="0" t="n">
        <f aca="false">$B188/AI$1</f>
        <v>0.00158974358974359</v>
      </c>
      <c r="AJ188" s="0" t="n">
        <f aca="false">$B188/AJ$1</f>
        <v>0.00154228855721393</v>
      </c>
      <c r="AK188" s="0" t="n">
        <f aca="false">$B188/AK$1</f>
        <v>0.0014975845410628</v>
      </c>
      <c r="AL188" s="0" t="n">
        <f aca="false">$B188/AL$1</f>
        <v>0.00145539906103286</v>
      </c>
      <c r="AM188" s="0" t="n">
        <f aca="false">$B188/AM$1</f>
        <v>0.00141552511415525</v>
      </c>
      <c r="AN188" s="0" t="n">
        <f aca="false">$B188/AN$1</f>
        <v>0.00137777777777778</v>
      </c>
      <c r="AO188" s="0" t="n">
        <f aca="false">$B188/AO$1</f>
        <v>0.00134199134199134</v>
      </c>
      <c r="AP188" s="0" t="n">
        <f aca="false">$B188/AP$1</f>
        <v>0.00130801687763713</v>
      </c>
      <c r="AQ188" s="0" t="n">
        <f aca="false">$B188/AQ$1</f>
        <v>0.00127572016460905</v>
      </c>
      <c r="AR188" s="0" t="n">
        <f aca="false">$B188/AR$1</f>
        <v>0.00124497991967872</v>
      </c>
      <c r="AS188" s="0" t="n">
        <f aca="false">$B188/AS$1</f>
        <v>0.0012156862745098</v>
      </c>
      <c r="AT188" s="0" t="n">
        <f aca="false">$B188/AT$1</f>
        <v>0.00118773946360153</v>
      </c>
      <c r="AU188" s="0" t="n">
        <f aca="false">$B188/AU$1</f>
        <v>0.00116104868913858</v>
      </c>
      <c r="AV188" s="0" t="n">
        <f aca="false">$B188/AV$1</f>
        <v>0.00113553113553114</v>
      </c>
      <c r="AW188" s="0" t="n">
        <f aca="false">$B188/AW$1</f>
        <v>0.00111111111111111</v>
      </c>
      <c r="AX188" s="0" t="n">
        <f aca="false">$B188/AX$1</f>
        <v>0.00108771929824561</v>
      </c>
      <c r="AY188" s="0" t="n">
        <f aca="false">$B188/AY$1</f>
        <v>0.00106529209621993</v>
      </c>
      <c r="AZ188" s="0" t="n">
        <f aca="false">$B188/AZ$1</f>
        <v>0.00104377104377104</v>
      </c>
      <c r="BA188" s="0" t="n">
        <f aca="false">$B188/BA$1</f>
        <v>0.00102310231023102</v>
      </c>
      <c r="BB188" s="0" t="n">
        <f aca="false">$B188/BB$1</f>
        <v>0.00100323624595469</v>
      </c>
      <c r="BC188" s="0" t="n">
        <f aca="false">$B188/BC$1</f>
        <v>0.000984126984126984</v>
      </c>
      <c r="BD188" s="0" t="n">
        <f aca="false">$B188/BD$1</f>
        <v>0.000965732087227414</v>
      </c>
      <c r="BE188" s="0" t="n">
        <f aca="false">$B188/BE$1</f>
        <v>0.000948012232415902</v>
      </c>
      <c r="BF188" s="0" t="n">
        <f aca="false">$B188/BF$1</f>
        <v>0.000930930930930931</v>
      </c>
      <c r="BG188" s="0" t="n">
        <f aca="false">$B188/BG$1</f>
        <v>0.000914454277286136</v>
      </c>
      <c r="BH188" s="0" t="n">
        <f aca="false">$B188/BH$1</f>
        <v>0.000898550724637681</v>
      </c>
      <c r="BI188" s="0" t="n">
        <f aca="false">$B188/BI$1</f>
        <v>0.000883190883190883</v>
      </c>
      <c r="BJ188" s="0" t="n">
        <f aca="false">$B188/BJ$1</f>
        <v>0.000868347338935574</v>
      </c>
      <c r="BL188" s="0" t="n">
        <f aca="false">IF($B$183=1,COUNTIF(C188:BJ188,"&gt;="&amp;$C$183),0)</f>
        <v>13</v>
      </c>
      <c r="BM188" s="0" t="n">
        <f aca="false">IF($B$183=1,IF(OR(BS188&gt;=Settings!$B$5,Settings!$C$18&gt;0),MAX(BL188,Settings!$C$18),0),0)</f>
        <v>13</v>
      </c>
      <c r="BN188" s="0" t="n">
        <f aca="false">IF($B$183=1,IF(OR(BS188&gt;=Settings!$B$5,Settings!$C$18&gt;0),MAX(0,(2*MAX(BL188,Settings!$C$18)+1)*$C$183-BS188),MAX(0,Settings!$B$5-BS188)),"")</f>
        <v>0.00826666666666667</v>
      </c>
      <c r="BO188" s="0" t="n">
        <f aca="false">IF($B$183=1,IF(OR(BS188&gt;=Settings!$B$5,Settings!$C$18&gt;0),IF(BL188&lt;=Settings!$C$18,"Protected by electorates",IF(Settings!$C$18=0,MIN(BS188-(2*BL188-1)*$D$183,BS188-Settings!$B$5),BS188-(2*BL188-1)*$D$183)),""),"")</f>
        <v>0.000112721417069223</v>
      </c>
      <c r="BP188" s="0" t="n">
        <f aca="false">IF($B$183=1,IF(OR(BS188&gt;=Settings!$B$5,Settings!$C$18&gt;0),MAX(0,MIN(1,(BS188/$C$183-(2*MAX(BL188,Settings!$C$18)-1))/2)),MIN(1,BS188/Settings!$B$5)),"")</f>
        <v>0</v>
      </c>
      <c r="BQ188" s="0" t="n">
        <f aca="false">IF(AND($B$183=1,COUNTIF(C188:BJ188,$C$183)&gt;0),1,0)</f>
        <v>1</v>
      </c>
      <c r="BR188" s="0" t="n">
        <f aca="false">IF(AND($B$183=1,COUNTIF(C188:BJ188,$D$183)&gt;0),1,0)</f>
        <v>0</v>
      </c>
      <c r="BS188" s="0" t="n">
        <f aca="false">N(IF(Polls!L26="",Polls!L37,Polls!L26))</f>
        <v>0.103333333333333</v>
      </c>
      <c r="BT188" s="0" t="str">
        <f aca="false">IF(OR(BS188&gt;=Settings!$B$5,Settings!$C$18&gt;0),"Next seat","Threshold")</f>
        <v>Next seat</v>
      </c>
    </row>
    <row r="189" customFormat="false" ht="15" hidden="false" customHeight="false" outlineLevel="0" collapsed="false">
      <c r="A189" s="0" t="s">
        <v>50</v>
      </c>
      <c r="B189" s="0" t="n">
        <f aca="false">IF(OR(BS189&gt;=Settings!$B$5,Settings!$C$19&gt;0),BS189,0)</f>
        <v>0.0145</v>
      </c>
      <c r="C189" s="0" t="n">
        <f aca="false">$B189/C$1</f>
        <v>0.0145</v>
      </c>
      <c r="D189" s="0" t="n">
        <f aca="false">$B189/D$1</f>
        <v>0.00483333333333333</v>
      </c>
      <c r="E189" s="0" t="n">
        <f aca="false">$B189/E$1</f>
        <v>0.0029</v>
      </c>
      <c r="F189" s="0" t="n">
        <f aca="false">$B189/F$1</f>
        <v>0.00207142857142857</v>
      </c>
      <c r="G189" s="0" t="n">
        <f aca="false">$B189/G$1</f>
        <v>0.00161111111111111</v>
      </c>
      <c r="H189" s="0" t="n">
        <f aca="false">$B189/H$1</f>
        <v>0.00131818181818182</v>
      </c>
      <c r="I189" s="0" t="n">
        <f aca="false">$B189/I$1</f>
        <v>0.00111538461538462</v>
      </c>
      <c r="J189" s="0" t="n">
        <f aca="false">$B189/J$1</f>
        <v>0.000966666666666667</v>
      </c>
      <c r="K189" s="0" t="n">
        <f aca="false">$B189/K$1</f>
        <v>0.000852941176470588</v>
      </c>
      <c r="L189" s="0" t="n">
        <f aca="false">$B189/L$1</f>
        <v>0.000763157894736842</v>
      </c>
      <c r="M189" s="0" t="n">
        <f aca="false">$B189/M$1</f>
        <v>0.000690476190476191</v>
      </c>
      <c r="N189" s="0" t="n">
        <f aca="false">$B189/N$1</f>
        <v>0.000630434782608696</v>
      </c>
      <c r="O189" s="0" t="n">
        <f aca="false">$B189/O$1</f>
        <v>0.00058</v>
      </c>
      <c r="P189" s="0" t="n">
        <f aca="false">$B189/P$1</f>
        <v>0.000537037037037037</v>
      </c>
      <c r="Q189" s="0" t="n">
        <f aca="false">$B189/Q$1</f>
        <v>0.0005</v>
      </c>
      <c r="R189" s="0" t="n">
        <f aca="false">$B189/R$1</f>
        <v>0.000467741935483871</v>
      </c>
      <c r="S189" s="0" t="n">
        <f aca="false">$B189/S$1</f>
        <v>0.000439393939393939</v>
      </c>
      <c r="T189" s="0" t="n">
        <f aca="false">$B189/T$1</f>
        <v>0.000414285714285714</v>
      </c>
      <c r="U189" s="0" t="n">
        <f aca="false">$B189/U$1</f>
        <v>0.000391891891891892</v>
      </c>
      <c r="V189" s="0" t="n">
        <f aca="false">$B189/V$1</f>
        <v>0.000371794871794872</v>
      </c>
      <c r="W189" s="0" t="n">
        <f aca="false">$B189/W$1</f>
        <v>0.000353658536585366</v>
      </c>
      <c r="X189" s="0" t="n">
        <f aca="false">$B189/X$1</f>
        <v>0.000337209302325581</v>
      </c>
      <c r="Y189" s="0" t="n">
        <f aca="false">$B189/Y$1</f>
        <v>0.000322222222222222</v>
      </c>
      <c r="Z189" s="0" t="n">
        <f aca="false">$B189/Z$1</f>
        <v>0.000308510638297872</v>
      </c>
      <c r="AA189" s="0" t="n">
        <f aca="false">$B189/AA$1</f>
        <v>0.000295918367346939</v>
      </c>
      <c r="AB189" s="0" t="n">
        <f aca="false">$B189/AB$1</f>
        <v>0.000284313725490196</v>
      </c>
      <c r="AC189" s="0" t="n">
        <f aca="false">$B189/AC$1</f>
        <v>0.000273584905660377</v>
      </c>
      <c r="AD189" s="0" t="n">
        <f aca="false">$B189/AD$1</f>
        <v>0.000263636363636364</v>
      </c>
      <c r="AE189" s="0" t="n">
        <f aca="false">$B189/AE$1</f>
        <v>0.000254385964912281</v>
      </c>
      <c r="AF189" s="0" t="n">
        <f aca="false">$B189/AF$1</f>
        <v>0.000245762711864407</v>
      </c>
      <c r="AG189" s="0" t="n">
        <f aca="false">$B189/AG$1</f>
        <v>0.000237704918032787</v>
      </c>
      <c r="AH189" s="0" t="n">
        <f aca="false">$B189/AH$1</f>
        <v>0.00023015873015873</v>
      </c>
      <c r="AI189" s="0" t="n">
        <f aca="false">$B189/AI$1</f>
        <v>0.000223076923076923</v>
      </c>
      <c r="AJ189" s="0" t="n">
        <f aca="false">$B189/AJ$1</f>
        <v>0.000216417910447761</v>
      </c>
      <c r="AK189" s="0" t="n">
        <f aca="false">$B189/AK$1</f>
        <v>0.000210144927536232</v>
      </c>
      <c r="AL189" s="0" t="n">
        <f aca="false">$B189/AL$1</f>
        <v>0.000204225352112676</v>
      </c>
      <c r="AM189" s="0" t="n">
        <f aca="false">$B189/AM$1</f>
        <v>0.000198630136986301</v>
      </c>
      <c r="AN189" s="0" t="n">
        <f aca="false">$B189/AN$1</f>
        <v>0.000193333333333333</v>
      </c>
      <c r="AO189" s="0" t="n">
        <f aca="false">$B189/AO$1</f>
        <v>0.000188311688311688</v>
      </c>
      <c r="AP189" s="0" t="n">
        <f aca="false">$B189/AP$1</f>
        <v>0.000183544303797468</v>
      </c>
      <c r="AQ189" s="0" t="n">
        <f aca="false">$B189/AQ$1</f>
        <v>0.000179012345679012</v>
      </c>
      <c r="AR189" s="0" t="n">
        <f aca="false">$B189/AR$1</f>
        <v>0.000174698795180723</v>
      </c>
      <c r="AS189" s="0" t="n">
        <f aca="false">$B189/AS$1</f>
        <v>0.000170588235294118</v>
      </c>
      <c r="AT189" s="0" t="n">
        <f aca="false">$B189/AT$1</f>
        <v>0.000166666666666667</v>
      </c>
      <c r="AU189" s="0" t="n">
        <f aca="false">$B189/AU$1</f>
        <v>0.000162921348314607</v>
      </c>
      <c r="AV189" s="0" t="n">
        <f aca="false">$B189/AV$1</f>
        <v>0.000159340659340659</v>
      </c>
      <c r="AW189" s="0" t="n">
        <f aca="false">$B189/AW$1</f>
        <v>0.000155913978494624</v>
      </c>
      <c r="AX189" s="0" t="n">
        <f aca="false">$B189/AX$1</f>
        <v>0.000152631578947368</v>
      </c>
      <c r="AY189" s="0" t="n">
        <f aca="false">$B189/AY$1</f>
        <v>0.000149484536082474</v>
      </c>
      <c r="AZ189" s="0" t="n">
        <f aca="false">$B189/AZ$1</f>
        <v>0.000146464646464646</v>
      </c>
      <c r="BA189" s="0" t="n">
        <f aca="false">$B189/BA$1</f>
        <v>0.000143564356435644</v>
      </c>
      <c r="BB189" s="0" t="n">
        <f aca="false">$B189/BB$1</f>
        <v>0.000140776699029126</v>
      </c>
      <c r="BC189" s="0" t="n">
        <f aca="false">$B189/BC$1</f>
        <v>0.000138095238095238</v>
      </c>
      <c r="BD189" s="0" t="n">
        <f aca="false">$B189/BD$1</f>
        <v>0.000135514018691589</v>
      </c>
      <c r="BE189" s="0" t="n">
        <f aca="false">$B189/BE$1</f>
        <v>0.00013302752293578</v>
      </c>
      <c r="BF189" s="0" t="n">
        <f aca="false">$B189/BF$1</f>
        <v>0.000130630630630631</v>
      </c>
      <c r="BG189" s="0" t="n">
        <f aca="false">$B189/BG$1</f>
        <v>0.000128318584070796</v>
      </c>
      <c r="BH189" s="0" t="n">
        <f aca="false">$B189/BH$1</f>
        <v>0.000126086956521739</v>
      </c>
      <c r="BI189" s="0" t="n">
        <f aca="false">$B189/BI$1</f>
        <v>0.000123931623931624</v>
      </c>
      <c r="BJ189" s="0" t="n">
        <f aca="false">$B189/BJ$1</f>
        <v>0.000121848739495798</v>
      </c>
      <c r="BL189" s="0" t="n">
        <f aca="false">IF($B$183=1,COUNTIF(C189:BJ189,"&gt;="&amp;$C$183),0)</f>
        <v>2</v>
      </c>
      <c r="BM189" s="0" t="n">
        <f aca="false">IF($B$183=1,IF(OR(BS189&gt;=Settings!$B$5,Settings!$C$19&gt;0),MAX(BL189,Settings!$C$19),0),0)</f>
        <v>4</v>
      </c>
      <c r="BN189" s="0" t="n">
        <f aca="false">IF($B$183=1,IF(OR(BS189&gt;=Settings!$B$5,Settings!$C$19&gt;0),MAX(0,(2*MAX(BL189,Settings!$C$19)+1)*$C$183-BS189),MAX(0,Settings!$B$5-BS189)),"")</f>
        <v>0.0227</v>
      </c>
      <c r="BO189" s="0" t="str">
        <f aca="false">IF($B$183=1,IF(OR(BS189&gt;=Settings!$B$5,Settings!$C$19&gt;0),IF(BL189&lt;=Settings!$C$19,"Protected by electorates",IF(Settings!$C$19=0,MIN(BS189-(2*BL189-1)*$D$183,BS189-Settings!$B$5),BS189-(2*BL189-1)*$D$183)),""),"")</f>
        <v>Protected by electorates</v>
      </c>
      <c r="BP189" s="0" t="n">
        <f aca="false">IF($B$183=1,IF(OR(BS189&gt;=Settings!$B$5,Settings!$C$19&gt;0),MAX(0,MIN(1,(BS189/$C$183-(2*MAX(BL189,Settings!$C$19)-1))/2)),MIN(1,BS189/Settings!$B$5)),"")</f>
        <v>0</v>
      </c>
      <c r="BQ189" s="0" t="n">
        <f aca="false">IF(AND($B$183=1,COUNTIF(C189:BJ189,$C$183)&gt;0),1,0)</f>
        <v>0</v>
      </c>
      <c r="BR189" s="0" t="n">
        <f aca="false">IF(AND($B$183=1,COUNTIF(C189:BJ189,$D$183)&gt;0),1,0)</f>
        <v>0</v>
      </c>
      <c r="BS189" s="0" t="n">
        <f aca="false">N(IF(Polls!M26="",Polls!M37,Polls!M26))</f>
        <v>0.0145</v>
      </c>
      <c r="BT189" s="0" t="str">
        <f aca="false">IF(OR(BS189&gt;=Settings!$B$5,Settings!$C$19&gt;0),"Next seat","Threshold")</f>
        <v>Next seat</v>
      </c>
    </row>
    <row r="190" customFormat="false" ht="15" hidden="false" customHeight="false" outlineLevel="0" collapsed="false">
      <c r="A190" s="0" t="s">
        <v>52</v>
      </c>
      <c r="B190" s="0" t="n">
        <f aca="false">IF(OR(BS190&gt;=Settings!$B$5,Settings!$C$20&gt;0),BS190,0)</f>
        <v>0.0614444444444445</v>
      </c>
      <c r="C190" s="0" t="n">
        <f aca="false">$B190/C$1</f>
        <v>0.0614444444444445</v>
      </c>
      <c r="D190" s="0" t="n">
        <f aca="false">$B190/D$1</f>
        <v>0.0204814814814815</v>
      </c>
      <c r="E190" s="0" t="n">
        <f aca="false">$B190/E$1</f>
        <v>0.0122888888888889</v>
      </c>
      <c r="F190" s="0" t="n">
        <f aca="false">$B190/F$1</f>
        <v>0.00877777777777778</v>
      </c>
      <c r="G190" s="0" t="n">
        <f aca="false">$B190/G$1</f>
        <v>0.00682716049382716</v>
      </c>
      <c r="H190" s="0" t="n">
        <f aca="false">$B190/H$1</f>
        <v>0.00558585858585859</v>
      </c>
      <c r="I190" s="0" t="n">
        <f aca="false">$B190/I$1</f>
        <v>0.00472649572649573</v>
      </c>
      <c r="J190" s="0" t="n">
        <f aca="false">$B190/J$1</f>
        <v>0.0040962962962963</v>
      </c>
      <c r="K190" s="0" t="n">
        <f aca="false">$B190/K$1</f>
        <v>0.00361437908496732</v>
      </c>
      <c r="L190" s="0" t="n">
        <f aca="false">$B190/L$1</f>
        <v>0.00323391812865497</v>
      </c>
      <c r="M190" s="0" t="n">
        <f aca="false">$B190/M$1</f>
        <v>0.00292592592592593</v>
      </c>
      <c r="N190" s="0" t="n">
        <f aca="false">$B190/N$1</f>
        <v>0.00267149758454106</v>
      </c>
      <c r="O190" s="0" t="n">
        <f aca="false">$B190/O$1</f>
        <v>0.00245777777777778</v>
      </c>
      <c r="P190" s="0" t="n">
        <f aca="false">$B190/P$1</f>
        <v>0.00227572016460905</v>
      </c>
      <c r="Q190" s="0" t="n">
        <f aca="false">$B190/Q$1</f>
        <v>0.00211877394636015</v>
      </c>
      <c r="R190" s="0" t="n">
        <f aca="false">$B190/R$1</f>
        <v>0.0019820788530466</v>
      </c>
      <c r="S190" s="0" t="n">
        <f aca="false">$B190/S$1</f>
        <v>0.00186195286195286</v>
      </c>
      <c r="T190" s="0" t="n">
        <f aca="false">$B190/T$1</f>
        <v>0.00175555555555556</v>
      </c>
      <c r="U190" s="0" t="n">
        <f aca="false">$B190/U$1</f>
        <v>0.00166066066066066</v>
      </c>
      <c r="V190" s="0" t="n">
        <f aca="false">$B190/V$1</f>
        <v>0.00157549857549858</v>
      </c>
      <c r="W190" s="0" t="n">
        <f aca="false">$B190/W$1</f>
        <v>0.00149864498644986</v>
      </c>
      <c r="X190" s="0" t="n">
        <f aca="false">$B190/X$1</f>
        <v>0.00142894056847545</v>
      </c>
      <c r="Y190" s="0" t="n">
        <f aca="false">$B190/Y$1</f>
        <v>0.00136543209876543</v>
      </c>
      <c r="Z190" s="0" t="n">
        <f aca="false">$B190/Z$1</f>
        <v>0.00130732860520095</v>
      </c>
      <c r="AA190" s="0" t="n">
        <f aca="false">$B190/AA$1</f>
        <v>0.00125396825396825</v>
      </c>
      <c r="AB190" s="0" t="n">
        <f aca="false">$B190/AB$1</f>
        <v>0.00120479302832244</v>
      </c>
      <c r="AC190" s="0" t="n">
        <f aca="false">$B190/AC$1</f>
        <v>0.00115932914046122</v>
      </c>
      <c r="AD190" s="0" t="n">
        <f aca="false">$B190/AD$1</f>
        <v>0.00111717171717172</v>
      </c>
      <c r="AE190" s="0" t="n">
        <f aca="false">$B190/AE$1</f>
        <v>0.00107797270955166</v>
      </c>
      <c r="AF190" s="0" t="n">
        <f aca="false">$B190/AF$1</f>
        <v>0.00104143126177024</v>
      </c>
      <c r="AG190" s="0" t="n">
        <f aca="false">$B190/AG$1</f>
        <v>0.00100728597449909</v>
      </c>
      <c r="AH190" s="0" t="n">
        <f aca="false">$B190/AH$1</f>
        <v>0.000975308641975309</v>
      </c>
      <c r="AI190" s="0" t="n">
        <f aca="false">$B190/AI$1</f>
        <v>0.000945299145299145</v>
      </c>
      <c r="AJ190" s="0" t="n">
        <f aca="false">$B190/AJ$1</f>
        <v>0.000917081260364843</v>
      </c>
      <c r="AK190" s="0" t="n">
        <f aca="false">$B190/AK$1</f>
        <v>0.000890499194847021</v>
      </c>
      <c r="AL190" s="0" t="n">
        <f aca="false">$B190/AL$1</f>
        <v>0.000865414710485133</v>
      </c>
      <c r="AM190" s="0" t="n">
        <f aca="false">$B190/AM$1</f>
        <v>0.000841704718417047</v>
      </c>
      <c r="AN190" s="0" t="n">
        <f aca="false">$B190/AN$1</f>
        <v>0.000819259259259259</v>
      </c>
      <c r="AO190" s="0" t="n">
        <f aca="false">$B190/AO$1</f>
        <v>0.000797979797979798</v>
      </c>
      <c r="AP190" s="0" t="n">
        <f aca="false">$B190/AP$1</f>
        <v>0.000777777777777778</v>
      </c>
      <c r="AQ190" s="0" t="n">
        <f aca="false">$B190/AQ$1</f>
        <v>0.000758573388203018</v>
      </c>
      <c r="AR190" s="0" t="n">
        <f aca="false">$B190/AR$1</f>
        <v>0.000740294511378849</v>
      </c>
      <c r="AS190" s="0" t="n">
        <f aca="false">$B190/AS$1</f>
        <v>0.000722875816993464</v>
      </c>
      <c r="AT190" s="0" t="n">
        <f aca="false">$B190/AT$1</f>
        <v>0.000706257982120051</v>
      </c>
      <c r="AU190" s="0" t="n">
        <f aca="false">$B190/AU$1</f>
        <v>0.000690387016229713</v>
      </c>
      <c r="AV190" s="0" t="n">
        <f aca="false">$B190/AV$1</f>
        <v>0.000675213675213675</v>
      </c>
      <c r="AW190" s="0" t="n">
        <f aca="false">$B190/AW$1</f>
        <v>0.000660692951015532</v>
      </c>
      <c r="AX190" s="0" t="n">
        <f aca="false">$B190/AX$1</f>
        <v>0.000646783625730994</v>
      </c>
      <c r="AY190" s="0" t="n">
        <f aca="false">$B190/AY$1</f>
        <v>0.000633447880870561</v>
      </c>
      <c r="AZ190" s="0" t="n">
        <f aca="false">$B190/AZ$1</f>
        <v>0.000620650953984287</v>
      </c>
      <c r="BA190" s="0" t="n">
        <f aca="false">$B190/BA$1</f>
        <v>0.000608360836083608</v>
      </c>
      <c r="BB190" s="0" t="n">
        <f aca="false">$B190/BB$1</f>
        <v>0.000596548004314995</v>
      </c>
      <c r="BC190" s="0" t="n">
        <f aca="false">$B190/BC$1</f>
        <v>0.000585185185185185</v>
      </c>
      <c r="BD190" s="0" t="n">
        <f aca="false">$B190/BD$1</f>
        <v>0.000574247144340602</v>
      </c>
      <c r="BE190" s="0" t="n">
        <f aca="false">$B190/BE$1</f>
        <v>0.000563710499490316</v>
      </c>
      <c r="BF190" s="0" t="n">
        <f aca="false">$B190/BF$1</f>
        <v>0.000553553553553554</v>
      </c>
      <c r="BG190" s="0" t="n">
        <f aca="false">$B190/BG$1</f>
        <v>0.000543756145526057</v>
      </c>
      <c r="BH190" s="0" t="n">
        <f aca="false">$B190/BH$1</f>
        <v>0.000534299516908213</v>
      </c>
      <c r="BI190" s="0" t="n">
        <f aca="false">$B190/BI$1</f>
        <v>0.000525166191832859</v>
      </c>
      <c r="BJ190" s="0" t="n">
        <f aca="false">$B190/BJ$1</f>
        <v>0.000516339869281046</v>
      </c>
      <c r="BL190" s="0" t="n">
        <f aca="false">IF($B$183=1,COUNTIF(C190:BJ190,"&gt;="&amp;$C$183),0)</f>
        <v>7</v>
      </c>
      <c r="BM190" s="0" t="n">
        <f aca="false">IF($B$183=1,IF(OR(BS190&gt;=Settings!$B$5,Settings!$C$20&gt;0),MAX(BL190,Settings!$C$20),0),0)</f>
        <v>7</v>
      </c>
      <c r="BN190" s="0" t="n">
        <f aca="false">IF($B$183=1,IF(OR(BS190&gt;=Settings!$B$5,Settings!$C$20&gt;0),MAX(0,(2*MAX(BL190,Settings!$C$20)+1)*$C$183-BS190),MAX(0,Settings!$B$5-BS190)),"")</f>
        <v>0.000555555555555552</v>
      </c>
      <c r="BO190" s="0" t="n">
        <f aca="false">IF($B$183=1,IF(OR(BS190&gt;=Settings!$B$5,Settings!$C$20&gt;0),IF(BL190&lt;=Settings!$C$20,"Protected by electorates",IF(Settings!$C$20=0,MIN(BS190-(2*BL190-1)*$D$183,BS190-Settings!$B$5),BS190-(2*BL190-1)*$D$183)),""),"")</f>
        <v>0.00776972624798712</v>
      </c>
      <c r="BP190" s="0" t="n">
        <f aca="false">IF($B$183=1,IF(OR(BS190&gt;=Settings!$B$5,Settings!$C$20&gt;0),MAX(0,MIN(1,(BS190/$C$183-(2*MAX(BL190,Settings!$C$20)-1))/2)),MIN(1,BS190/Settings!$B$5)),"")</f>
        <v>0.932795698924731</v>
      </c>
      <c r="BQ190" s="0" t="n">
        <f aca="false">IF(AND($B$183=1,COUNTIF(C190:BJ190,$C$183)&gt;0),1,0)</f>
        <v>0</v>
      </c>
      <c r="BR190" s="0" t="n">
        <f aca="false">IF(AND($B$183=1,COUNTIF(C190:BJ190,$D$183)&gt;0),1,0)</f>
        <v>0</v>
      </c>
      <c r="BS190" s="0" t="n">
        <f aca="false">N(IF(Polls!N26="",Polls!N37,Polls!N26))</f>
        <v>0.0614444444444445</v>
      </c>
      <c r="BT190" s="0" t="str">
        <f aca="false">IF(OR(BS190&gt;=Settings!$B$5,Settings!$C$20&gt;0),"Next seat","Threshold")</f>
        <v>Next seat</v>
      </c>
    </row>
    <row r="192" customFormat="false" ht="15" hidden="false" customHeight="false" outlineLevel="0" collapsed="false">
      <c r="A192" s="41" t="n">
        <f aca="false">Polls!A27</f>
        <v>0</v>
      </c>
      <c r="B192" s="17" t="n">
        <f aca="false">IF(SUM(BS193:BS199)&gt;0,1,0)</f>
        <v>1</v>
      </c>
      <c r="C192" s="17" t="n">
        <f aca="false">IF(B192=1,LARGE(C193:BJ199,Settings!$B$4),0)</f>
        <v>0.00413333333333333</v>
      </c>
      <c r="D192" s="17" t="n">
        <f aca="false">IF(B192=1,LARGE(C193:BJ199,Settings!$B$4+1),0)</f>
        <v>0.00412882447665056</v>
      </c>
      <c r="E192" s="0" t="str">
        <f aca="false">IF(B192=1,IFERROR(INDEX(A193:A199,MATCH(1,BQ193:BQ199,0)),""),"")</f>
        <v>NZF</v>
      </c>
      <c r="F192" s="0" t="str">
        <f aca="false">IF(B192=1,IFERROR(INDEX(A193:A199,MATCH(1,BR193:BR199,0)),""),"")</f>
        <v>NAT</v>
      </c>
      <c r="G192" s="17" t="n">
        <f aca="false">IF(B192=1,SUM(BM193:BM199)+Settings!$B$10,"")</f>
        <v>122</v>
      </c>
    </row>
    <row r="193" customFormat="false" ht="15" hidden="false" customHeight="false" outlineLevel="0" collapsed="false">
      <c r="A193" s="0" t="s">
        <v>41</v>
      </c>
      <c r="B193" s="0" t="n">
        <f aca="false">IF(OR(BS193&gt;=Settings!$B$5,Settings!$C$14&gt;0),BS193,0)</f>
        <v>0.284888888888889</v>
      </c>
      <c r="C193" s="0" t="n">
        <f aca="false">$B193/C$1</f>
        <v>0.284888888888889</v>
      </c>
      <c r="D193" s="0" t="n">
        <f aca="false">$B193/D$1</f>
        <v>0.094962962962963</v>
      </c>
      <c r="E193" s="0" t="n">
        <f aca="false">$B193/E$1</f>
        <v>0.0569777777777778</v>
      </c>
      <c r="F193" s="0" t="n">
        <f aca="false">$B193/F$1</f>
        <v>0.0406984126984127</v>
      </c>
      <c r="G193" s="0" t="n">
        <f aca="false">$B193/G$1</f>
        <v>0.0316543209876543</v>
      </c>
      <c r="H193" s="0" t="n">
        <f aca="false">$B193/H$1</f>
        <v>0.0258989898989899</v>
      </c>
      <c r="I193" s="0" t="n">
        <f aca="false">$B193/I$1</f>
        <v>0.0219145299145299</v>
      </c>
      <c r="J193" s="0" t="n">
        <f aca="false">$B193/J$1</f>
        <v>0.0189925925925926</v>
      </c>
      <c r="K193" s="0" t="n">
        <f aca="false">$B193/K$1</f>
        <v>0.0167581699346405</v>
      </c>
      <c r="L193" s="0" t="n">
        <f aca="false">$B193/L$1</f>
        <v>0.0149941520467836</v>
      </c>
      <c r="M193" s="0" t="n">
        <f aca="false">$B193/M$1</f>
        <v>0.0135661375661376</v>
      </c>
      <c r="N193" s="0" t="n">
        <f aca="false">$B193/N$1</f>
        <v>0.0123864734299517</v>
      </c>
      <c r="O193" s="0" t="n">
        <f aca="false">$B193/O$1</f>
        <v>0.0113955555555556</v>
      </c>
      <c r="P193" s="0" t="n">
        <f aca="false">$B193/P$1</f>
        <v>0.0105514403292181</v>
      </c>
      <c r="Q193" s="0" t="n">
        <f aca="false">$B193/Q$1</f>
        <v>0.00982375478927203</v>
      </c>
      <c r="R193" s="0" t="n">
        <f aca="false">$B193/R$1</f>
        <v>0.0091899641577061</v>
      </c>
      <c r="S193" s="0" t="n">
        <f aca="false">$B193/S$1</f>
        <v>0.00863299663299663</v>
      </c>
      <c r="T193" s="0" t="n">
        <f aca="false">$B193/T$1</f>
        <v>0.00813968253968254</v>
      </c>
      <c r="U193" s="0" t="n">
        <f aca="false">$B193/U$1</f>
        <v>0.0076996996996997</v>
      </c>
      <c r="V193" s="0" t="n">
        <f aca="false">$B193/V$1</f>
        <v>0.00730484330484331</v>
      </c>
      <c r="W193" s="0" t="n">
        <f aca="false">$B193/W$1</f>
        <v>0.00694850948509485</v>
      </c>
      <c r="X193" s="0" t="n">
        <f aca="false">$B193/X$1</f>
        <v>0.00662532299741602</v>
      </c>
      <c r="Y193" s="0" t="n">
        <f aca="false">$B193/Y$1</f>
        <v>0.00633086419753086</v>
      </c>
      <c r="Z193" s="0" t="n">
        <f aca="false">$B193/Z$1</f>
        <v>0.00606146572104019</v>
      </c>
      <c r="AA193" s="0" t="n">
        <f aca="false">$B193/AA$1</f>
        <v>0.0058140589569161</v>
      </c>
      <c r="AB193" s="0" t="n">
        <f aca="false">$B193/AB$1</f>
        <v>0.00558605664488018</v>
      </c>
      <c r="AC193" s="0" t="n">
        <f aca="false">$B193/AC$1</f>
        <v>0.00537526205450734</v>
      </c>
      <c r="AD193" s="0" t="n">
        <f aca="false">$B193/AD$1</f>
        <v>0.00517979797979798</v>
      </c>
      <c r="AE193" s="0" t="n">
        <f aca="false">$B193/AE$1</f>
        <v>0.00499805068226121</v>
      </c>
      <c r="AF193" s="0" t="n">
        <f aca="false">$B193/AF$1</f>
        <v>0.0048286252354049</v>
      </c>
      <c r="AG193" s="0" t="n">
        <f aca="false">$B193/AG$1</f>
        <v>0.00467030965391621</v>
      </c>
      <c r="AH193" s="0" t="n">
        <f aca="false">$B193/AH$1</f>
        <v>0.00452204585537919</v>
      </c>
      <c r="AI193" s="0" t="n">
        <f aca="false">$B193/AI$1</f>
        <v>0.00438290598290598</v>
      </c>
      <c r="AJ193" s="0" t="n">
        <f aca="false">$B193/AJ$1</f>
        <v>0.00425207296849088</v>
      </c>
      <c r="AK193" s="0" t="n">
        <f aca="false">$B193/AK$1</f>
        <v>0.00412882447665056</v>
      </c>
      <c r="AL193" s="0" t="n">
        <f aca="false">$B193/AL$1</f>
        <v>0.00401251956181534</v>
      </c>
      <c r="AM193" s="0" t="n">
        <f aca="false">$B193/AM$1</f>
        <v>0.00390258751902588</v>
      </c>
      <c r="AN193" s="0" t="n">
        <f aca="false">$B193/AN$1</f>
        <v>0.00379851851851852</v>
      </c>
      <c r="AO193" s="0" t="n">
        <f aca="false">$B193/AO$1</f>
        <v>0.0036998556998557</v>
      </c>
      <c r="AP193" s="0" t="n">
        <f aca="false">$B193/AP$1</f>
        <v>0.00360618846694796</v>
      </c>
      <c r="AQ193" s="0" t="n">
        <f aca="false">$B193/AQ$1</f>
        <v>0.00351714677640604</v>
      </c>
      <c r="AR193" s="0" t="n">
        <f aca="false">$B193/AR$1</f>
        <v>0.00343239625167336</v>
      </c>
      <c r="AS193" s="0" t="n">
        <f aca="false">$B193/AS$1</f>
        <v>0.00335163398692811</v>
      </c>
      <c r="AT193" s="0" t="n">
        <f aca="false">$B193/AT$1</f>
        <v>0.00327458492975734</v>
      </c>
      <c r="AU193" s="0" t="n">
        <f aca="false">$B193/AU$1</f>
        <v>0.00320099875156055</v>
      </c>
      <c r="AV193" s="0" t="n">
        <f aca="false">$B193/AV$1</f>
        <v>0.00313064713064713</v>
      </c>
      <c r="AW193" s="0" t="n">
        <f aca="false">$B193/AW$1</f>
        <v>0.00306332138590203</v>
      </c>
      <c r="AX193" s="0" t="n">
        <f aca="false">$B193/AX$1</f>
        <v>0.00299883040935673</v>
      </c>
      <c r="AY193" s="0" t="n">
        <f aca="false">$B193/AY$1</f>
        <v>0.00293699885452463</v>
      </c>
      <c r="AZ193" s="0" t="n">
        <f aca="false">$B193/AZ$1</f>
        <v>0.00287766554433221</v>
      </c>
      <c r="BA193" s="0" t="n">
        <f aca="false">$B193/BA$1</f>
        <v>0.00282068206820682</v>
      </c>
      <c r="BB193" s="0" t="n">
        <f aca="false">$B193/BB$1</f>
        <v>0.00276591154261057</v>
      </c>
      <c r="BC193" s="0" t="n">
        <f aca="false">$B193/BC$1</f>
        <v>0.00271322751322751</v>
      </c>
      <c r="BD193" s="0" t="n">
        <f aca="false">$B193/BD$1</f>
        <v>0.00266251298026999</v>
      </c>
      <c r="BE193" s="0" t="n">
        <f aca="false">$B193/BE$1</f>
        <v>0.00261365953109072</v>
      </c>
      <c r="BF193" s="0" t="n">
        <f aca="false">$B193/BF$1</f>
        <v>0.00256656656656657</v>
      </c>
      <c r="BG193" s="0" t="n">
        <f aca="false">$B193/BG$1</f>
        <v>0.00252114060963619</v>
      </c>
      <c r="BH193" s="0" t="n">
        <f aca="false">$B193/BH$1</f>
        <v>0.00247729468599034</v>
      </c>
      <c r="BI193" s="0" t="n">
        <f aca="false">$B193/BI$1</f>
        <v>0.0024349477682811</v>
      </c>
      <c r="BJ193" s="0" t="n">
        <f aca="false">$B193/BJ$1</f>
        <v>0.00239402427637722</v>
      </c>
      <c r="BL193" s="0" t="n">
        <f aca="false">IF($B$192=1,COUNTIF(C193:BJ193,"&gt;="&amp;$C$192),0)</f>
        <v>34</v>
      </c>
      <c r="BM193" s="0" t="n">
        <f aca="false">IF($B$192=1,IF(OR(BS193&gt;=Settings!$B$5,Settings!$C$14&gt;0),MAX(BL193,Settings!$C$14),0),0)</f>
        <v>34</v>
      </c>
      <c r="BN193" s="0" t="n">
        <f aca="false">IF($B$192=1,IF(OR(BS193&gt;=Settings!$B$5,Settings!$C$14&gt;0),MAX(0,(2*MAX(BL193,Settings!$C$14)+1)*$C$192-BS193),MAX(0,Settings!$B$5-BS193)),"")</f>
        <v>0.000311111111111095</v>
      </c>
      <c r="BO193" s="0" t="n">
        <f aca="false">IF($B$192=1,IF(OR(BS193&gt;=Settings!$B$5,Settings!$C$14&gt;0),IF(BL193&lt;=Settings!$C$14,"Protected by electorates",IF(Settings!$C$14=0,MIN(BS193-(2*BL193-1)*$D$192,BS193-Settings!$B$5),BS193-(2*BL193-1)*$D$192)),""),"")</f>
        <v>0.00825764895330111</v>
      </c>
      <c r="BP193" s="0" t="n">
        <f aca="false">IF($B$192=1,IF(OR(BS193&gt;=Settings!$B$5,Settings!$C$14&gt;0),MAX(0,MIN(1,(BS193/$C$192-(2*MAX(BL193,Settings!$C$14)-1))/2)),MIN(1,BS193/Settings!$B$5)),"")</f>
        <v>0.962365591397848</v>
      </c>
      <c r="BQ193" s="0" t="n">
        <f aca="false">IF(AND($B$192=1,COUNTIF(C193:BJ193,$C$192)&gt;0),1,0)</f>
        <v>0</v>
      </c>
      <c r="BR193" s="0" t="n">
        <f aca="false">IF(AND($B$192=1,COUNTIF(C193:BJ193,$D$192)&gt;0),1,0)</f>
        <v>1</v>
      </c>
      <c r="BS193" s="0" t="n">
        <f aca="false">N(IF(Polls!H27="",Polls!H37,Polls!H27))</f>
        <v>0.284888888888889</v>
      </c>
      <c r="BT193" s="0" t="str">
        <f aca="false">IF(OR(BS193&gt;=Settings!$B$5,Settings!$C$14&gt;0),"Next seat","Threshold")</f>
        <v>Next seat</v>
      </c>
    </row>
    <row r="194" customFormat="false" ht="15" hidden="false" customHeight="false" outlineLevel="0" collapsed="false">
      <c r="A194" s="0" t="s">
        <v>43</v>
      </c>
      <c r="B194" s="0" t="n">
        <f aca="false">IF(OR(BS194&gt;=Settings!$B$5,Settings!$C$15&gt;0),BS194,0)</f>
        <v>0.279333333333333</v>
      </c>
      <c r="C194" s="0" t="n">
        <f aca="false">$B194/C$1</f>
        <v>0.279333333333333</v>
      </c>
      <c r="D194" s="0" t="n">
        <f aca="false">$B194/D$1</f>
        <v>0.0931111111111111</v>
      </c>
      <c r="E194" s="0" t="n">
        <f aca="false">$B194/E$1</f>
        <v>0.0558666666666667</v>
      </c>
      <c r="F194" s="0" t="n">
        <f aca="false">$B194/F$1</f>
        <v>0.0399047619047619</v>
      </c>
      <c r="G194" s="0" t="n">
        <f aca="false">$B194/G$1</f>
        <v>0.031037037037037</v>
      </c>
      <c r="H194" s="0" t="n">
        <f aca="false">$B194/H$1</f>
        <v>0.0253939393939394</v>
      </c>
      <c r="I194" s="0" t="n">
        <f aca="false">$B194/I$1</f>
        <v>0.0214871794871795</v>
      </c>
      <c r="J194" s="0" t="n">
        <f aca="false">$B194/J$1</f>
        <v>0.0186222222222222</v>
      </c>
      <c r="K194" s="0" t="n">
        <f aca="false">$B194/K$1</f>
        <v>0.0164313725490196</v>
      </c>
      <c r="L194" s="0" t="n">
        <f aca="false">$B194/L$1</f>
        <v>0.0147017543859649</v>
      </c>
      <c r="M194" s="0" t="n">
        <f aca="false">$B194/M$1</f>
        <v>0.0133015873015873</v>
      </c>
      <c r="N194" s="0" t="n">
        <f aca="false">$B194/N$1</f>
        <v>0.0121449275362319</v>
      </c>
      <c r="O194" s="0" t="n">
        <f aca="false">$B194/O$1</f>
        <v>0.0111733333333333</v>
      </c>
      <c r="P194" s="0" t="n">
        <f aca="false">$B194/P$1</f>
        <v>0.0103456790123457</v>
      </c>
      <c r="Q194" s="0" t="n">
        <f aca="false">$B194/Q$1</f>
        <v>0.00963218390804598</v>
      </c>
      <c r="R194" s="0" t="n">
        <f aca="false">$B194/R$1</f>
        <v>0.00901075268817204</v>
      </c>
      <c r="S194" s="0" t="n">
        <f aca="false">$B194/S$1</f>
        <v>0.00846464646464647</v>
      </c>
      <c r="T194" s="0" t="n">
        <f aca="false">$B194/T$1</f>
        <v>0.00798095238095238</v>
      </c>
      <c r="U194" s="0" t="n">
        <f aca="false">$B194/U$1</f>
        <v>0.00754954954954955</v>
      </c>
      <c r="V194" s="0" t="n">
        <f aca="false">$B194/V$1</f>
        <v>0.00716239316239316</v>
      </c>
      <c r="W194" s="0" t="n">
        <f aca="false">$B194/W$1</f>
        <v>0.0068130081300813</v>
      </c>
      <c r="X194" s="0" t="n">
        <f aca="false">$B194/X$1</f>
        <v>0.00649612403100775</v>
      </c>
      <c r="Y194" s="0" t="n">
        <f aca="false">$B194/Y$1</f>
        <v>0.00620740740740741</v>
      </c>
      <c r="Z194" s="0" t="n">
        <f aca="false">$B194/Z$1</f>
        <v>0.00594326241134752</v>
      </c>
      <c r="AA194" s="0" t="n">
        <f aca="false">$B194/AA$1</f>
        <v>0.00570068027210885</v>
      </c>
      <c r="AB194" s="0" t="n">
        <f aca="false">$B194/AB$1</f>
        <v>0.00547712418300654</v>
      </c>
      <c r="AC194" s="0" t="n">
        <f aca="false">$B194/AC$1</f>
        <v>0.00527044025157233</v>
      </c>
      <c r="AD194" s="0" t="n">
        <f aca="false">$B194/AD$1</f>
        <v>0.00507878787878788</v>
      </c>
      <c r="AE194" s="0" t="n">
        <f aca="false">$B194/AE$1</f>
        <v>0.00490058479532164</v>
      </c>
      <c r="AF194" s="0" t="n">
        <f aca="false">$B194/AF$1</f>
        <v>0.00473446327683616</v>
      </c>
      <c r="AG194" s="0" t="n">
        <f aca="false">$B194/AG$1</f>
        <v>0.0045792349726776</v>
      </c>
      <c r="AH194" s="0" t="n">
        <f aca="false">$B194/AH$1</f>
        <v>0.00443386243386244</v>
      </c>
      <c r="AI194" s="0" t="n">
        <f aca="false">$B194/AI$1</f>
        <v>0.0042974358974359</v>
      </c>
      <c r="AJ194" s="0" t="n">
        <f aca="false">$B194/AJ$1</f>
        <v>0.00416915422885572</v>
      </c>
      <c r="AK194" s="0" t="n">
        <f aca="false">$B194/AK$1</f>
        <v>0.00404830917874396</v>
      </c>
      <c r="AL194" s="0" t="n">
        <f aca="false">$B194/AL$1</f>
        <v>0.00393427230046948</v>
      </c>
      <c r="AM194" s="0" t="n">
        <f aca="false">$B194/AM$1</f>
        <v>0.00382648401826484</v>
      </c>
      <c r="AN194" s="0" t="n">
        <f aca="false">$B194/AN$1</f>
        <v>0.00372444444444445</v>
      </c>
      <c r="AO194" s="0" t="n">
        <f aca="false">$B194/AO$1</f>
        <v>0.00362770562770563</v>
      </c>
      <c r="AP194" s="0" t="n">
        <f aca="false">$B194/AP$1</f>
        <v>0.00353586497890295</v>
      </c>
      <c r="AQ194" s="0" t="n">
        <f aca="false">$B194/AQ$1</f>
        <v>0.00344855967078189</v>
      </c>
      <c r="AR194" s="0" t="n">
        <f aca="false">$B194/AR$1</f>
        <v>0.00336546184738956</v>
      </c>
      <c r="AS194" s="0" t="n">
        <f aca="false">$B194/AS$1</f>
        <v>0.00328627450980392</v>
      </c>
      <c r="AT194" s="0" t="n">
        <f aca="false">$B194/AT$1</f>
        <v>0.00321072796934866</v>
      </c>
      <c r="AU194" s="0" t="n">
        <f aca="false">$B194/AU$1</f>
        <v>0.00313857677902622</v>
      </c>
      <c r="AV194" s="0" t="n">
        <f aca="false">$B194/AV$1</f>
        <v>0.00306959706959707</v>
      </c>
      <c r="AW194" s="0" t="n">
        <f aca="false">$B194/AW$1</f>
        <v>0.00300358422939068</v>
      </c>
      <c r="AX194" s="0" t="n">
        <f aca="false">$B194/AX$1</f>
        <v>0.00294035087719298</v>
      </c>
      <c r="AY194" s="0" t="n">
        <f aca="false">$B194/AY$1</f>
        <v>0.00287972508591065</v>
      </c>
      <c r="AZ194" s="0" t="n">
        <f aca="false">$B194/AZ$1</f>
        <v>0.00282154882154882</v>
      </c>
      <c r="BA194" s="0" t="n">
        <f aca="false">$B194/BA$1</f>
        <v>0.00276567656765677</v>
      </c>
      <c r="BB194" s="0" t="n">
        <f aca="false">$B194/BB$1</f>
        <v>0.00271197411003236</v>
      </c>
      <c r="BC194" s="0" t="n">
        <f aca="false">$B194/BC$1</f>
        <v>0.00266031746031746</v>
      </c>
      <c r="BD194" s="0" t="n">
        <f aca="false">$B194/BD$1</f>
        <v>0.00261059190031153</v>
      </c>
      <c r="BE194" s="0" t="n">
        <f aca="false">$B194/BE$1</f>
        <v>0.00256269113149847</v>
      </c>
      <c r="BF194" s="0" t="n">
        <f aca="false">$B194/BF$1</f>
        <v>0.00251651651651652</v>
      </c>
      <c r="BG194" s="0" t="n">
        <f aca="false">$B194/BG$1</f>
        <v>0.00247197640117994</v>
      </c>
      <c r="BH194" s="0" t="n">
        <f aca="false">$B194/BH$1</f>
        <v>0.00242898550724638</v>
      </c>
      <c r="BI194" s="0" t="n">
        <f aca="false">$B194/BI$1</f>
        <v>0.00238746438746439</v>
      </c>
      <c r="BJ194" s="0" t="n">
        <f aca="false">$B194/BJ$1</f>
        <v>0.00234733893557423</v>
      </c>
      <c r="BL194" s="0" t="n">
        <f aca="false">IF($B$192=1,COUNTIF(C194:BJ194,"&gt;="&amp;$C$192),0)</f>
        <v>34</v>
      </c>
      <c r="BM194" s="0" t="n">
        <f aca="false">IF($B$192=1,IF(OR(BS194&gt;=Settings!$B$5,Settings!$C$15&gt;0),MAX(BL194,Settings!$C$15),0),0)</f>
        <v>34</v>
      </c>
      <c r="BN194" s="0" t="n">
        <f aca="false">IF($B$192=1,IF(OR(BS194&gt;=Settings!$B$5,Settings!$C$15&gt;0),MAX(0,(2*MAX(BL194,Settings!$C$15)+1)*$C$192-BS194),MAX(0,Settings!$B$5-BS194)),"")</f>
        <v>0.00586666666666663</v>
      </c>
      <c r="BO194" s="0" t="n">
        <f aca="false">IF($B$192=1,IF(OR(BS194&gt;=Settings!$B$5,Settings!$C$15&gt;0),IF(BL194&lt;=Settings!$C$15,"Protected by electorates",IF(Settings!$C$15=0,MIN(BS194-(2*BL194-1)*$D$192,BS194-Settings!$B$5),BS194-(2*BL194-1)*$D$192)),""),"")</f>
        <v>0.00270209339774558</v>
      </c>
      <c r="BP194" s="0" t="n">
        <f aca="false">IF($B$192=1,IF(OR(BS194&gt;=Settings!$B$5,Settings!$C$15&gt;0),MAX(0,MIN(1,(BS194/$C$192-(2*MAX(BL194,Settings!$C$15)-1))/2)),MIN(1,BS194/Settings!$B$5)),"")</f>
        <v>0.290322580645167</v>
      </c>
      <c r="BQ194" s="0" t="n">
        <f aca="false">IF(AND($B$192=1,COUNTIF(C194:BJ194,$C$192)&gt;0),1,0)</f>
        <v>0</v>
      </c>
      <c r="BR194" s="0" t="n">
        <f aca="false">IF(AND($B$192=1,COUNTIF(C194:BJ194,$D$192)&gt;0),1,0)</f>
        <v>0</v>
      </c>
      <c r="BS194" s="0" t="n">
        <f aca="false">N(IF(Polls!I27="",Polls!I37,Polls!I27))</f>
        <v>0.279333333333333</v>
      </c>
      <c r="BT194" s="0" t="str">
        <f aca="false">IF(OR(BS194&gt;=Settings!$B$5,Settings!$C$15&gt;0),"Next seat","Threshold")</f>
        <v>Next seat</v>
      </c>
    </row>
    <row r="195" customFormat="false" ht="15" hidden="false" customHeight="false" outlineLevel="0" collapsed="false">
      <c r="A195" s="0" t="s">
        <v>45</v>
      </c>
      <c r="B195" s="0" t="n">
        <f aca="false">IF(OR(BS195&gt;=Settings!$B$5,Settings!$C$16&gt;0),BS195,0)</f>
        <v>0.145555555555556</v>
      </c>
      <c r="C195" s="0" t="n">
        <f aca="false">$B195/C$1</f>
        <v>0.145555555555556</v>
      </c>
      <c r="D195" s="0" t="n">
        <f aca="false">$B195/D$1</f>
        <v>0.0485185185185185</v>
      </c>
      <c r="E195" s="0" t="n">
        <f aca="false">$B195/E$1</f>
        <v>0.0291111111111111</v>
      </c>
      <c r="F195" s="0" t="n">
        <f aca="false">$B195/F$1</f>
        <v>0.0207936507936508</v>
      </c>
      <c r="G195" s="0" t="n">
        <f aca="false">$B195/G$1</f>
        <v>0.0161728395061728</v>
      </c>
      <c r="H195" s="0" t="n">
        <f aca="false">$B195/H$1</f>
        <v>0.0132323232323232</v>
      </c>
      <c r="I195" s="0" t="n">
        <f aca="false">$B195/I$1</f>
        <v>0.0111965811965812</v>
      </c>
      <c r="J195" s="0" t="n">
        <f aca="false">$B195/J$1</f>
        <v>0.0097037037037037</v>
      </c>
      <c r="K195" s="0" t="n">
        <f aca="false">$B195/K$1</f>
        <v>0.00856209150326797</v>
      </c>
      <c r="L195" s="0" t="n">
        <f aca="false">$B195/L$1</f>
        <v>0.00766081871345029</v>
      </c>
      <c r="M195" s="0" t="n">
        <f aca="false">$B195/M$1</f>
        <v>0.00693121693121693</v>
      </c>
      <c r="N195" s="0" t="n">
        <f aca="false">$B195/N$1</f>
        <v>0.00632850241545894</v>
      </c>
      <c r="O195" s="0" t="n">
        <f aca="false">$B195/O$1</f>
        <v>0.00582222222222222</v>
      </c>
      <c r="P195" s="0" t="n">
        <f aca="false">$B195/P$1</f>
        <v>0.00539094650205761</v>
      </c>
      <c r="Q195" s="0" t="n">
        <f aca="false">$B195/Q$1</f>
        <v>0.00501915708812261</v>
      </c>
      <c r="R195" s="0" t="n">
        <f aca="false">$B195/R$1</f>
        <v>0.00469534050179212</v>
      </c>
      <c r="S195" s="0" t="n">
        <f aca="false">$B195/S$1</f>
        <v>0.00441077441077441</v>
      </c>
      <c r="T195" s="0" t="n">
        <f aca="false">$B195/T$1</f>
        <v>0.00415873015873016</v>
      </c>
      <c r="U195" s="0" t="n">
        <f aca="false">$B195/U$1</f>
        <v>0.00393393393393393</v>
      </c>
      <c r="V195" s="0" t="n">
        <f aca="false">$B195/V$1</f>
        <v>0.00373219373219373</v>
      </c>
      <c r="W195" s="0" t="n">
        <f aca="false">$B195/W$1</f>
        <v>0.00355013550135501</v>
      </c>
      <c r="X195" s="0" t="n">
        <f aca="false">$B195/X$1</f>
        <v>0.00338501291989664</v>
      </c>
      <c r="Y195" s="0" t="n">
        <f aca="false">$B195/Y$1</f>
        <v>0.00323456790123457</v>
      </c>
      <c r="Z195" s="0" t="n">
        <f aca="false">$B195/Z$1</f>
        <v>0.00309692671394799</v>
      </c>
      <c r="AA195" s="0" t="n">
        <f aca="false">$B195/AA$1</f>
        <v>0.00297052154195011</v>
      </c>
      <c r="AB195" s="0" t="n">
        <f aca="false">$B195/AB$1</f>
        <v>0.00285403050108932</v>
      </c>
      <c r="AC195" s="0" t="n">
        <f aca="false">$B195/AC$1</f>
        <v>0.00274633123689727</v>
      </c>
      <c r="AD195" s="0" t="n">
        <f aca="false">$B195/AD$1</f>
        <v>0.00264646464646465</v>
      </c>
      <c r="AE195" s="0" t="n">
        <f aca="false">$B195/AE$1</f>
        <v>0.00255360623781676</v>
      </c>
      <c r="AF195" s="0" t="n">
        <f aca="false">$B195/AF$1</f>
        <v>0.00246704331450094</v>
      </c>
      <c r="AG195" s="0" t="n">
        <f aca="false">$B195/AG$1</f>
        <v>0.00238615664845173</v>
      </c>
      <c r="AH195" s="0" t="n">
        <f aca="false">$B195/AH$1</f>
        <v>0.00231040564373898</v>
      </c>
      <c r="AI195" s="0" t="n">
        <f aca="false">$B195/AI$1</f>
        <v>0.00223931623931624</v>
      </c>
      <c r="AJ195" s="0" t="n">
        <f aca="false">$B195/AJ$1</f>
        <v>0.00217247097844113</v>
      </c>
      <c r="AK195" s="0" t="n">
        <f aca="false">$B195/AK$1</f>
        <v>0.00210950080515298</v>
      </c>
      <c r="AL195" s="0" t="n">
        <f aca="false">$B195/AL$1</f>
        <v>0.00205007824726135</v>
      </c>
      <c r="AM195" s="0" t="n">
        <f aca="false">$B195/AM$1</f>
        <v>0.00199391171993912</v>
      </c>
      <c r="AN195" s="0" t="n">
        <f aca="false">$B195/AN$1</f>
        <v>0.00194074074074074</v>
      </c>
      <c r="AO195" s="0" t="n">
        <f aca="false">$B195/AO$1</f>
        <v>0.00189033189033189</v>
      </c>
      <c r="AP195" s="0" t="n">
        <f aca="false">$B195/AP$1</f>
        <v>0.00184247538677918</v>
      </c>
      <c r="AQ195" s="0" t="n">
        <f aca="false">$B195/AQ$1</f>
        <v>0.00179698216735254</v>
      </c>
      <c r="AR195" s="0" t="n">
        <f aca="false">$B195/AR$1</f>
        <v>0.00175368139223561</v>
      </c>
      <c r="AS195" s="0" t="n">
        <f aca="false">$B195/AS$1</f>
        <v>0.00171241830065359</v>
      </c>
      <c r="AT195" s="0" t="n">
        <f aca="false">$B195/AT$1</f>
        <v>0.00167305236270754</v>
      </c>
      <c r="AU195" s="0" t="n">
        <f aca="false">$B195/AU$1</f>
        <v>0.0016354556803995</v>
      </c>
      <c r="AV195" s="0" t="n">
        <f aca="false">$B195/AV$1</f>
        <v>0.0015995115995116</v>
      </c>
      <c r="AW195" s="0" t="n">
        <f aca="false">$B195/AW$1</f>
        <v>0.00156511350059737</v>
      </c>
      <c r="AX195" s="0" t="n">
        <f aca="false">$B195/AX$1</f>
        <v>0.00153216374269006</v>
      </c>
      <c r="AY195" s="0" t="n">
        <f aca="false">$B195/AY$1</f>
        <v>0.00150057273768614</v>
      </c>
      <c r="AZ195" s="0" t="n">
        <f aca="false">$B195/AZ$1</f>
        <v>0.0014702581369248</v>
      </c>
      <c r="BA195" s="0" t="n">
        <f aca="false">$B195/BA$1</f>
        <v>0.00144114411441144</v>
      </c>
      <c r="BB195" s="0" t="n">
        <f aca="false">$B195/BB$1</f>
        <v>0.00141316073354908</v>
      </c>
      <c r="BC195" s="0" t="n">
        <f aca="false">$B195/BC$1</f>
        <v>0.00138624338624339</v>
      </c>
      <c r="BD195" s="0" t="n">
        <f aca="false">$B195/BD$1</f>
        <v>0.00136033229491173</v>
      </c>
      <c r="BE195" s="0" t="n">
        <f aca="false">$B195/BE$1</f>
        <v>0.00133537206931702</v>
      </c>
      <c r="BF195" s="0" t="n">
        <f aca="false">$B195/BF$1</f>
        <v>0.00131131131131131</v>
      </c>
      <c r="BG195" s="0" t="n">
        <f aca="false">$B195/BG$1</f>
        <v>0.00128810226155359</v>
      </c>
      <c r="BH195" s="0" t="n">
        <f aca="false">$B195/BH$1</f>
        <v>0.00126570048309179</v>
      </c>
      <c r="BI195" s="0" t="n">
        <f aca="false">$B195/BI$1</f>
        <v>0.00124406457739791</v>
      </c>
      <c r="BJ195" s="0" t="n">
        <f aca="false">$B195/BJ$1</f>
        <v>0.00122315592903828</v>
      </c>
      <c r="BL195" s="0" t="n">
        <f aca="false">IF($B$192=1,COUNTIF(C195:BJ195,"&gt;="&amp;$C$192),0)</f>
        <v>18</v>
      </c>
      <c r="BM195" s="0" t="n">
        <f aca="false">IF($B$192=1,IF(OR(BS195&gt;=Settings!$B$5,Settings!$C$16&gt;0),MAX(BL195,Settings!$C$16),0),0)</f>
        <v>18</v>
      </c>
      <c r="BN195" s="0" t="n">
        <f aca="false">IF($B$192=1,IF(OR(BS195&gt;=Settings!$B$5,Settings!$C$16&gt;0),MAX(0,(2*MAX(BL195,Settings!$C$16)+1)*$C$192-BS195),MAX(0,Settings!$B$5-BS195)),"")</f>
        <v>0.00737777777777779</v>
      </c>
      <c r="BO195" s="0" t="n">
        <f aca="false">IF($B$192=1,IF(OR(BS195&gt;=Settings!$B$5,Settings!$C$16&gt;0),IF(BL195&lt;=Settings!$C$16,"Protected by electorates",IF(Settings!$C$16=0,MIN(BS195-(2*BL195-1)*$D$192,BS195-Settings!$B$5),BS195-(2*BL195-1)*$D$192)),""),"")</f>
        <v>0.0010466988727858</v>
      </c>
      <c r="BP195" s="0" t="n">
        <f aca="false">IF($B$192=1,IF(OR(BS195&gt;=Settings!$B$5,Settings!$C$16&gt;0),MAX(0,MIN(1,(BS195/$C$192-(2*MAX(BL195,Settings!$C$16)-1))/2)),MIN(1,BS195/Settings!$B$5)),"")</f>
        <v>0.107526881720428</v>
      </c>
      <c r="BQ195" s="0" t="n">
        <f aca="false">IF(AND($B$192=1,COUNTIF(C195:BJ195,$C$192)&gt;0),1,0)</f>
        <v>0</v>
      </c>
      <c r="BR195" s="0" t="n">
        <f aca="false">IF(AND($B$192=1,COUNTIF(C195:BJ195,$D$192)&gt;0),1,0)</f>
        <v>0</v>
      </c>
      <c r="BS195" s="0" t="n">
        <f aca="false">N(IF(Polls!J27="",Polls!J37,Polls!J27))</f>
        <v>0.145555555555556</v>
      </c>
      <c r="BT195" s="0" t="str">
        <f aca="false">IF(OR(BS195&gt;=Settings!$B$5,Settings!$C$16&gt;0),"Next seat","Threshold")</f>
        <v>Next seat</v>
      </c>
    </row>
    <row r="196" customFormat="false" ht="15" hidden="false" customHeight="false" outlineLevel="0" collapsed="false">
      <c r="A196" s="0" t="s">
        <v>46</v>
      </c>
      <c r="B196" s="0" t="n">
        <f aca="false">IF(OR(BS196&gt;=Settings!$B$5,Settings!$C$17&gt;0),BS196,0)</f>
        <v>0.0963333333333333</v>
      </c>
      <c r="C196" s="0" t="n">
        <f aca="false">$B196/C$1</f>
        <v>0.0963333333333333</v>
      </c>
      <c r="D196" s="0" t="n">
        <f aca="false">$B196/D$1</f>
        <v>0.0321111111111111</v>
      </c>
      <c r="E196" s="0" t="n">
        <f aca="false">$B196/E$1</f>
        <v>0.0192666666666667</v>
      </c>
      <c r="F196" s="0" t="n">
        <f aca="false">$B196/F$1</f>
        <v>0.0137619047619048</v>
      </c>
      <c r="G196" s="0" t="n">
        <f aca="false">$B196/G$1</f>
        <v>0.0107037037037037</v>
      </c>
      <c r="H196" s="0" t="n">
        <f aca="false">$B196/H$1</f>
        <v>0.00875757575757576</v>
      </c>
      <c r="I196" s="0" t="n">
        <f aca="false">$B196/I$1</f>
        <v>0.00741025641025641</v>
      </c>
      <c r="J196" s="0" t="n">
        <f aca="false">$B196/J$1</f>
        <v>0.00642222222222222</v>
      </c>
      <c r="K196" s="0" t="n">
        <f aca="false">$B196/K$1</f>
        <v>0.00566666666666667</v>
      </c>
      <c r="L196" s="0" t="n">
        <f aca="false">$B196/L$1</f>
        <v>0.00507017543859649</v>
      </c>
      <c r="M196" s="0" t="n">
        <f aca="false">$B196/M$1</f>
        <v>0.00458730158730159</v>
      </c>
      <c r="N196" s="0" t="n">
        <f aca="false">$B196/N$1</f>
        <v>0.00418840579710145</v>
      </c>
      <c r="O196" s="0" t="n">
        <f aca="false">$B196/O$1</f>
        <v>0.00385333333333333</v>
      </c>
      <c r="P196" s="0" t="n">
        <f aca="false">$B196/P$1</f>
        <v>0.0035679012345679</v>
      </c>
      <c r="Q196" s="0" t="n">
        <f aca="false">$B196/Q$1</f>
        <v>0.00332183908045977</v>
      </c>
      <c r="R196" s="0" t="n">
        <f aca="false">$B196/R$1</f>
        <v>0.00310752688172043</v>
      </c>
      <c r="S196" s="0" t="n">
        <f aca="false">$B196/S$1</f>
        <v>0.00291919191919192</v>
      </c>
      <c r="T196" s="0" t="n">
        <f aca="false">$B196/T$1</f>
        <v>0.00275238095238095</v>
      </c>
      <c r="U196" s="0" t="n">
        <f aca="false">$B196/U$1</f>
        <v>0.0026036036036036</v>
      </c>
      <c r="V196" s="0" t="n">
        <f aca="false">$B196/V$1</f>
        <v>0.00247008547008547</v>
      </c>
      <c r="W196" s="0" t="n">
        <f aca="false">$B196/W$1</f>
        <v>0.00234959349593496</v>
      </c>
      <c r="X196" s="0" t="n">
        <f aca="false">$B196/X$1</f>
        <v>0.00224031007751938</v>
      </c>
      <c r="Y196" s="0" t="n">
        <f aca="false">$B196/Y$1</f>
        <v>0.00214074074074074</v>
      </c>
      <c r="Z196" s="0" t="n">
        <f aca="false">$B196/Z$1</f>
        <v>0.00204964539007092</v>
      </c>
      <c r="AA196" s="0" t="n">
        <f aca="false">$B196/AA$1</f>
        <v>0.00196598639455782</v>
      </c>
      <c r="AB196" s="0" t="n">
        <f aca="false">$B196/AB$1</f>
        <v>0.00188888888888889</v>
      </c>
      <c r="AC196" s="0" t="n">
        <f aca="false">$B196/AC$1</f>
        <v>0.00181761006289308</v>
      </c>
      <c r="AD196" s="0" t="n">
        <f aca="false">$B196/AD$1</f>
        <v>0.00175151515151515</v>
      </c>
      <c r="AE196" s="0" t="n">
        <f aca="false">$B196/AE$1</f>
        <v>0.00169005847953216</v>
      </c>
      <c r="AF196" s="0" t="n">
        <f aca="false">$B196/AF$1</f>
        <v>0.00163276836158192</v>
      </c>
      <c r="AG196" s="0" t="n">
        <f aca="false">$B196/AG$1</f>
        <v>0.0015792349726776</v>
      </c>
      <c r="AH196" s="0" t="n">
        <f aca="false">$B196/AH$1</f>
        <v>0.00152910052910053</v>
      </c>
      <c r="AI196" s="0" t="n">
        <f aca="false">$B196/AI$1</f>
        <v>0.00148205128205128</v>
      </c>
      <c r="AJ196" s="0" t="n">
        <f aca="false">$B196/AJ$1</f>
        <v>0.00143781094527363</v>
      </c>
      <c r="AK196" s="0" t="n">
        <f aca="false">$B196/AK$1</f>
        <v>0.00139613526570048</v>
      </c>
      <c r="AL196" s="0" t="n">
        <f aca="false">$B196/AL$1</f>
        <v>0.00135680751173709</v>
      </c>
      <c r="AM196" s="0" t="n">
        <f aca="false">$B196/AM$1</f>
        <v>0.00131963470319635</v>
      </c>
      <c r="AN196" s="0" t="n">
        <f aca="false">$B196/AN$1</f>
        <v>0.00128444444444444</v>
      </c>
      <c r="AO196" s="0" t="n">
        <f aca="false">$B196/AO$1</f>
        <v>0.00125108225108225</v>
      </c>
      <c r="AP196" s="0" t="n">
        <f aca="false">$B196/AP$1</f>
        <v>0.00121940928270042</v>
      </c>
      <c r="AQ196" s="0" t="n">
        <f aca="false">$B196/AQ$1</f>
        <v>0.00118930041152263</v>
      </c>
      <c r="AR196" s="0" t="n">
        <f aca="false">$B196/AR$1</f>
        <v>0.00116064257028112</v>
      </c>
      <c r="AS196" s="0" t="n">
        <f aca="false">$B196/AS$1</f>
        <v>0.00113333333333333</v>
      </c>
      <c r="AT196" s="0" t="n">
        <f aca="false">$B196/AT$1</f>
        <v>0.00110727969348659</v>
      </c>
      <c r="AU196" s="0" t="n">
        <f aca="false">$B196/AU$1</f>
        <v>0.00108239700374532</v>
      </c>
      <c r="AV196" s="0" t="n">
        <f aca="false">$B196/AV$1</f>
        <v>0.00105860805860806</v>
      </c>
      <c r="AW196" s="0" t="n">
        <f aca="false">$B196/AW$1</f>
        <v>0.00103584229390681</v>
      </c>
      <c r="AX196" s="0" t="n">
        <f aca="false">$B196/AX$1</f>
        <v>0.0010140350877193</v>
      </c>
      <c r="AY196" s="0" t="n">
        <f aca="false">$B196/AY$1</f>
        <v>0.000993127147766323</v>
      </c>
      <c r="AZ196" s="0" t="n">
        <f aca="false">$B196/AZ$1</f>
        <v>0.000973063973063973</v>
      </c>
      <c r="BA196" s="0" t="n">
        <f aca="false">$B196/BA$1</f>
        <v>0.000953795379537954</v>
      </c>
      <c r="BB196" s="0" t="n">
        <f aca="false">$B196/BB$1</f>
        <v>0.000935275080906149</v>
      </c>
      <c r="BC196" s="0" t="n">
        <f aca="false">$B196/BC$1</f>
        <v>0.000917460317460317</v>
      </c>
      <c r="BD196" s="0" t="n">
        <f aca="false">$B196/BD$1</f>
        <v>0.000900311526479751</v>
      </c>
      <c r="BE196" s="0" t="n">
        <f aca="false">$B196/BE$1</f>
        <v>0.000883792048929664</v>
      </c>
      <c r="BF196" s="0" t="n">
        <f aca="false">$B196/BF$1</f>
        <v>0.000867867867867868</v>
      </c>
      <c r="BG196" s="0" t="n">
        <f aca="false">$B196/BG$1</f>
        <v>0.000852507374631268</v>
      </c>
      <c r="BH196" s="0" t="n">
        <f aca="false">$B196/BH$1</f>
        <v>0.00083768115942029</v>
      </c>
      <c r="BI196" s="0" t="n">
        <f aca="false">$B196/BI$1</f>
        <v>0.000823361823361823</v>
      </c>
      <c r="BJ196" s="0" t="n">
        <f aca="false">$B196/BJ$1</f>
        <v>0.00080952380952381</v>
      </c>
      <c r="BL196" s="0" t="n">
        <f aca="false">IF($B$192=1,COUNTIF(C196:BJ196,"&gt;="&amp;$C$192),0)</f>
        <v>12</v>
      </c>
      <c r="BM196" s="0" t="n">
        <f aca="false">IF($B$192=1,IF(OR(BS196&gt;=Settings!$B$5,Settings!$C$17&gt;0),MAX(BL196,Settings!$C$17),0),0)</f>
        <v>12</v>
      </c>
      <c r="BN196" s="0" t="n">
        <f aca="false">IF($B$192=1,IF(OR(BS196&gt;=Settings!$B$5,Settings!$C$17&gt;0),MAX(0,(2*MAX(BL196,Settings!$C$17)+1)*$C$192-BS196),MAX(0,Settings!$B$5-BS196)),"")</f>
        <v>0.00700000000000001</v>
      </c>
      <c r="BO196" s="0" t="n">
        <f aca="false">IF($B$192=1,IF(OR(BS196&gt;=Settings!$B$5,Settings!$C$17&gt;0),IF(BL196&lt;=Settings!$C$17,"Protected by electorates",IF(Settings!$C$17=0,MIN(BS196-(2*BL196-1)*$D$192,BS196-Settings!$B$5),BS196-(2*BL196-1)*$D$192)),""),"")</f>
        <v>0.00137037037037036</v>
      </c>
      <c r="BP196" s="0" t="n">
        <f aca="false">IF($B$192=1,IF(OR(BS196&gt;=Settings!$B$5,Settings!$C$17&gt;0),MAX(0,MIN(1,(BS196/$C$192-(2*MAX(BL196,Settings!$C$17)-1))/2)),MIN(1,BS196/Settings!$B$5)),"")</f>
        <v>0.153225806451612</v>
      </c>
      <c r="BQ196" s="0" t="n">
        <f aca="false">IF(AND($B$192=1,COUNTIF(C196:BJ196,$C$192)&gt;0),1,0)</f>
        <v>0</v>
      </c>
      <c r="BR196" s="0" t="n">
        <f aca="false">IF(AND($B$192=1,COUNTIF(C196:BJ196,$D$192)&gt;0),1,0)</f>
        <v>0</v>
      </c>
      <c r="BS196" s="0" t="n">
        <f aca="false">N(IF(Polls!K27="",Polls!K37,Polls!K27))</f>
        <v>0.0963333333333333</v>
      </c>
      <c r="BT196" s="0" t="str">
        <f aca="false">IF(OR(BS196&gt;=Settings!$B$5,Settings!$C$17&gt;0),"Next seat","Threshold")</f>
        <v>Next seat</v>
      </c>
    </row>
    <row r="197" customFormat="false" ht="15" hidden="false" customHeight="false" outlineLevel="0" collapsed="false">
      <c r="A197" s="0" t="s">
        <v>48</v>
      </c>
      <c r="B197" s="0" t="n">
        <f aca="false">IF(OR(BS197&gt;=Settings!$B$5,Settings!$C$18&gt;0),BS197,0)</f>
        <v>0.103333333333333</v>
      </c>
      <c r="C197" s="0" t="n">
        <f aca="false">$B197/C$1</f>
        <v>0.103333333333333</v>
      </c>
      <c r="D197" s="0" t="n">
        <f aca="false">$B197/D$1</f>
        <v>0.0344444444444444</v>
      </c>
      <c r="E197" s="0" t="n">
        <f aca="false">$B197/E$1</f>
        <v>0.0206666666666667</v>
      </c>
      <c r="F197" s="0" t="n">
        <f aca="false">$B197/F$1</f>
        <v>0.0147619047619048</v>
      </c>
      <c r="G197" s="0" t="n">
        <f aca="false">$B197/G$1</f>
        <v>0.0114814814814815</v>
      </c>
      <c r="H197" s="0" t="n">
        <f aca="false">$B197/H$1</f>
        <v>0.00939393939393939</v>
      </c>
      <c r="I197" s="0" t="n">
        <f aca="false">$B197/I$1</f>
        <v>0.00794871794871795</v>
      </c>
      <c r="J197" s="0" t="n">
        <f aca="false">$B197/J$1</f>
        <v>0.00688888888888889</v>
      </c>
      <c r="K197" s="0" t="n">
        <f aca="false">$B197/K$1</f>
        <v>0.00607843137254902</v>
      </c>
      <c r="L197" s="0" t="n">
        <f aca="false">$B197/L$1</f>
        <v>0.00543859649122807</v>
      </c>
      <c r="M197" s="0" t="n">
        <f aca="false">$B197/M$1</f>
        <v>0.00492063492063492</v>
      </c>
      <c r="N197" s="0" t="n">
        <f aca="false">$B197/N$1</f>
        <v>0.00449275362318841</v>
      </c>
      <c r="O197" s="0" t="n">
        <f aca="false">$B197/O$1</f>
        <v>0.00413333333333333</v>
      </c>
      <c r="P197" s="0" t="n">
        <f aca="false">$B197/P$1</f>
        <v>0.00382716049382716</v>
      </c>
      <c r="Q197" s="0" t="n">
        <f aca="false">$B197/Q$1</f>
        <v>0.0035632183908046</v>
      </c>
      <c r="R197" s="0" t="n">
        <f aca="false">$B197/R$1</f>
        <v>0.00333333333333333</v>
      </c>
      <c r="S197" s="0" t="n">
        <f aca="false">$B197/S$1</f>
        <v>0.00313131313131313</v>
      </c>
      <c r="T197" s="0" t="n">
        <f aca="false">$B197/T$1</f>
        <v>0.00295238095238095</v>
      </c>
      <c r="U197" s="0" t="n">
        <f aca="false">$B197/U$1</f>
        <v>0.00279279279279279</v>
      </c>
      <c r="V197" s="0" t="n">
        <f aca="false">$B197/V$1</f>
        <v>0.00264957264957265</v>
      </c>
      <c r="W197" s="0" t="n">
        <f aca="false">$B197/W$1</f>
        <v>0.00252032520325203</v>
      </c>
      <c r="X197" s="0" t="n">
        <f aca="false">$B197/X$1</f>
        <v>0.0024031007751938</v>
      </c>
      <c r="Y197" s="0" t="n">
        <f aca="false">$B197/Y$1</f>
        <v>0.0022962962962963</v>
      </c>
      <c r="Z197" s="0" t="n">
        <f aca="false">$B197/Z$1</f>
        <v>0.00219858156028369</v>
      </c>
      <c r="AA197" s="0" t="n">
        <f aca="false">$B197/AA$1</f>
        <v>0.00210884353741497</v>
      </c>
      <c r="AB197" s="0" t="n">
        <f aca="false">$B197/AB$1</f>
        <v>0.00202614379084967</v>
      </c>
      <c r="AC197" s="0" t="n">
        <f aca="false">$B197/AC$1</f>
        <v>0.0019496855345912</v>
      </c>
      <c r="AD197" s="0" t="n">
        <f aca="false">$B197/AD$1</f>
        <v>0.00187878787878788</v>
      </c>
      <c r="AE197" s="0" t="n">
        <f aca="false">$B197/AE$1</f>
        <v>0.00181286549707602</v>
      </c>
      <c r="AF197" s="0" t="n">
        <f aca="false">$B197/AF$1</f>
        <v>0.00175141242937853</v>
      </c>
      <c r="AG197" s="0" t="n">
        <f aca="false">$B197/AG$1</f>
        <v>0.00169398907103825</v>
      </c>
      <c r="AH197" s="0" t="n">
        <f aca="false">$B197/AH$1</f>
        <v>0.00164021164021164</v>
      </c>
      <c r="AI197" s="0" t="n">
        <f aca="false">$B197/AI$1</f>
        <v>0.00158974358974359</v>
      </c>
      <c r="AJ197" s="0" t="n">
        <f aca="false">$B197/AJ$1</f>
        <v>0.00154228855721393</v>
      </c>
      <c r="AK197" s="0" t="n">
        <f aca="false">$B197/AK$1</f>
        <v>0.0014975845410628</v>
      </c>
      <c r="AL197" s="0" t="n">
        <f aca="false">$B197/AL$1</f>
        <v>0.00145539906103286</v>
      </c>
      <c r="AM197" s="0" t="n">
        <f aca="false">$B197/AM$1</f>
        <v>0.00141552511415525</v>
      </c>
      <c r="AN197" s="0" t="n">
        <f aca="false">$B197/AN$1</f>
        <v>0.00137777777777778</v>
      </c>
      <c r="AO197" s="0" t="n">
        <f aca="false">$B197/AO$1</f>
        <v>0.00134199134199134</v>
      </c>
      <c r="AP197" s="0" t="n">
        <f aca="false">$B197/AP$1</f>
        <v>0.00130801687763713</v>
      </c>
      <c r="AQ197" s="0" t="n">
        <f aca="false">$B197/AQ$1</f>
        <v>0.00127572016460905</v>
      </c>
      <c r="AR197" s="0" t="n">
        <f aca="false">$B197/AR$1</f>
        <v>0.00124497991967872</v>
      </c>
      <c r="AS197" s="0" t="n">
        <f aca="false">$B197/AS$1</f>
        <v>0.0012156862745098</v>
      </c>
      <c r="AT197" s="0" t="n">
        <f aca="false">$B197/AT$1</f>
        <v>0.00118773946360153</v>
      </c>
      <c r="AU197" s="0" t="n">
        <f aca="false">$B197/AU$1</f>
        <v>0.00116104868913858</v>
      </c>
      <c r="AV197" s="0" t="n">
        <f aca="false">$B197/AV$1</f>
        <v>0.00113553113553114</v>
      </c>
      <c r="AW197" s="0" t="n">
        <f aca="false">$B197/AW$1</f>
        <v>0.00111111111111111</v>
      </c>
      <c r="AX197" s="0" t="n">
        <f aca="false">$B197/AX$1</f>
        <v>0.00108771929824561</v>
      </c>
      <c r="AY197" s="0" t="n">
        <f aca="false">$B197/AY$1</f>
        <v>0.00106529209621993</v>
      </c>
      <c r="AZ197" s="0" t="n">
        <f aca="false">$B197/AZ$1</f>
        <v>0.00104377104377104</v>
      </c>
      <c r="BA197" s="0" t="n">
        <f aca="false">$B197/BA$1</f>
        <v>0.00102310231023102</v>
      </c>
      <c r="BB197" s="0" t="n">
        <f aca="false">$B197/BB$1</f>
        <v>0.00100323624595469</v>
      </c>
      <c r="BC197" s="0" t="n">
        <f aca="false">$B197/BC$1</f>
        <v>0.000984126984126984</v>
      </c>
      <c r="BD197" s="0" t="n">
        <f aca="false">$B197/BD$1</f>
        <v>0.000965732087227414</v>
      </c>
      <c r="BE197" s="0" t="n">
        <f aca="false">$B197/BE$1</f>
        <v>0.000948012232415902</v>
      </c>
      <c r="BF197" s="0" t="n">
        <f aca="false">$B197/BF$1</f>
        <v>0.000930930930930931</v>
      </c>
      <c r="BG197" s="0" t="n">
        <f aca="false">$B197/BG$1</f>
        <v>0.000914454277286136</v>
      </c>
      <c r="BH197" s="0" t="n">
        <f aca="false">$B197/BH$1</f>
        <v>0.000898550724637681</v>
      </c>
      <c r="BI197" s="0" t="n">
        <f aca="false">$B197/BI$1</f>
        <v>0.000883190883190883</v>
      </c>
      <c r="BJ197" s="0" t="n">
        <f aca="false">$B197/BJ$1</f>
        <v>0.000868347338935574</v>
      </c>
      <c r="BL197" s="0" t="n">
        <f aca="false">IF($B$192=1,COUNTIF(C197:BJ197,"&gt;="&amp;$C$192),0)</f>
        <v>13</v>
      </c>
      <c r="BM197" s="0" t="n">
        <f aca="false">IF($B$192=1,IF(OR(BS197&gt;=Settings!$B$5,Settings!$C$18&gt;0),MAX(BL197,Settings!$C$18),0),0)</f>
        <v>13</v>
      </c>
      <c r="BN197" s="0" t="n">
        <f aca="false">IF($B$192=1,IF(OR(BS197&gt;=Settings!$B$5,Settings!$C$18&gt;0),MAX(0,(2*MAX(BL197,Settings!$C$18)+1)*$C$192-BS197),MAX(0,Settings!$B$5-BS197)),"")</f>
        <v>0.00826666666666667</v>
      </c>
      <c r="BO197" s="0" t="n">
        <f aca="false">IF($B$192=1,IF(OR(BS197&gt;=Settings!$B$5,Settings!$C$18&gt;0),IF(BL197&lt;=Settings!$C$18,"Protected by electorates",IF(Settings!$C$18=0,MIN(BS197-(2*BL197-1)*$D$192,BS197-Settings!$B$5),BS197-(2*BL197-1)*$D$192)),""),"")</f>
        <v>0.000112721417069223</v>
      </c>
      <c r="BP197" s="0" t="n">
        <f aca="false">IF($B$192=1,IF(OR(BS197&gt;=Settings!$B$5,Settings!$C$18&gt;0),MAX(0,MIN(1,(BS197/$C$192-(2*MAX(BL197,Settings!$C$18)-1))/2)),MIN(1,BS197/Settings!$B$5)),"")</f>
        <v>0</v>
      </c>
      <c r="BQ197" s="0" t="n">
        <f aca="false">IF(AND($B$192=1,COUNTIF(C197:BJ197,$C$192)&gt;0),1,0)</f>
        <v>1</v>
      </c>
      <c r="BR197" s="0" t="n">
        <f aca="false">IF(AND($B$192=1,COUNTIF(C197:BJ197,$D$192)&gt;0),1,0)</f>
        <v>0</v>
      </c>
      <c r="BS197" s="0" t="n">
        <f aca="false">N(IF(Polls!L27="",Polls!L37,Polls!L27))</f>
        <v>0.103333333333333</v>
      </c>
      <c r="BT197" s="0" t="str">
        <f aca="false">IF(OR(BS197&gt;=Settings!$B$5,Settings!$C$18&gt;0),"Next seat","Threshold")</f>
        <v>Next seat</v>
      </c>
    </row>
    <row r="198" customFormat="false" ht="15" hidden="false" customHeight="false" outlineLevel="0" collapsed="false">
      <c r="A198" s="0" t="s">
        <v>50</v>
      </c>
      <c r="B198" s="0" t="n">
        <f aca="false">IF(OR(BS198&gt;=Settings!$B$5,Settings!$C$19&gt;0),BS198,0)</f>
        <v>0.0145</v>
      </c>
      <c r="C198" s="0" t="n">
        <f aca="false">$B198/C$1</f>
        <v>0.0145</v>
      </c>
      <c r="D198" s="0" t="n">
        <f aca="false">$B198/D$1</f>
        <v>0.00483333333333333</v>
      </c>
      <c r="E198" s="0" t="n">
        <f aca="false">$B198/E$1</f>
        <v>0.0029</v>
      </c>
      <c r="F198" s="0" t="n">
        <f aca="false">$B198/F$1</f>
        <v>0.00207142857142857</v>
      </c>
      <c r="G198" s="0" t="n">
        <f aca="false">$B198/G$1</f>
        <v>0.00161111111111111</v>
      </c>
      <c r="H198" s="0" t="n">
        <f aca="false">$B198/H$1</f>
        <v>0.00131818181818182</v>
      </c>
      <c r="I198" s="0" t="n">
        <f aca="false">$B198/I$1</f>
        <v>0.00111538461538462</v>
      </c>
      <c r="J198" s="0" t="n">
        <f aca="false">$B198/J$1</f>
        <v>0.000966666666666667</v>
      </c>
      <c r="K198" s="0" t="n">
        <f aca="false">$B198/K$1</f>
        <v>0.000852941176470588</v>
      </c>
      <c r="L198" s="0" t="n">
        <f aca="false">$B198/L$1</f>
        <v>0.000763157894736842</v>
      </c>
      <c r="M198" s="0" t="n">
        <f aca="false">$B198/M$1</f>
        <v>0.000690476190476191</v>
      </c>
      <c r="N198" s="0" t="n">
        <f aca="false">$B198/N$1</f>
        <v>0.000630434782608696</v>
      </c>
      <c r="O198" s="0" t="n">
        <f aca="false">$B198/O$1</f>
        <v>0.00058</v>
      </c>
      <c r="P198" s="0" t="n">
        <f aca="false">$B198/P$1</f>
        <v>0.000537037037037037</v>
      </c>
      <c r="Q198" s="0" t="n">
        <f aca="false">$B198/Q$1</f>
        <v>0.0005</v>
      </c>
      <c r="R198" s="0" t="n">
        <f aca="false">$B198/R$1</f>
        <v>0.000467741935483871</v>
      </c>
      <c r="S198" s="0" t="n">
        <f aca="false">$B198/S$1</f>
        <v>0.000439393939393939</v>
      </c>
      <c r="T198" s="0" t="n">
        <f aca="false">$B198/T$1</f>
        <v>0.000414285714285714</v>
      </c>
      <c r="U198" s="0" t="n">
        <f aca="false">$B198/U$1</f>
        <v>0.000391891891891892</v>
      </c>
      <c r="V198" s="0" t="n">
        <f aca="false">$B198/V$1</f>
        <v>0.000371794871794872</v>
      </c>
      <c r="W198" s="0" t="n">
        <f aca="false">$B198/W$1</f>
        <v>0.000353658536585366</v>
      </c>
      <c r="X198" s="0" t="n">
        <f aca="false">$B198/X$1</f>
        <v>0.000337209302325581</v>
      </c>
      <c r="Y198" s="0" t="n">
        <f aca="false">$B198/Y$1</f>
        <v>0.000322222222222222</v>
      </c>
      <c r="Z198" s="0" t="n">
        <f aca="false">$B198/Z$1</f>
        <v>0.000308510638297872</v>
      </c>
      <c r="AA198" s="0" t="n">
        <f aca="false">$B198/AA$1</f>
        <v>0.000295918367346939</v>
      </c>
      <c r="AB198" s="0" t="n">
        <f aca="false">$B198/AB$1</f>
        <v>0.000284313725490196</v>
      </c>
      <c r="AC198" s="0" t="n">
        <f aca="false">$B198/AC$1</f>
        <v>0.000273584905660377</v>
      </c>
      <c r="AD198" s="0" t="n">
        <f aca="false">$B198/AD$1</f>
        <v>0.000263636363636364</v>
      </c>
      <c r="AE198" s="0" t="n">
        <f aca="false">$B198/AE$1</f>
        <v>0.000254385964912281</v>
      </c>
      <c r="AF198" s="0" t="n">
        <f aca="false">$B198/AF$1</f>
        <v>0.000245762711864407</v>
      </c>
      <c r="AG198" s="0" t="n">
        <f aca="false">$B198/AG$1</f>
        <v>0.000237704918032787</v>
      </c>
      <c r="AH198" s="0" t="n">
        <f aca="false">$B198/AH$1</f>
        <v>0.00023015873015873</v>
      </c>
      <c r="AI198" s="0" t="n">
        <f aca="false">$B198/AI$1</f>
        <v>0.000223076923076923</v>
      </c>
      <c r="AJ198" s="0" t="n">
        <f aca="false">$B198/AJ$1</f>
        <v>0.000216417910447761</v>
      </c>
      <c r="AK198" s="0" t="n">
        <f aca="false">$B198/AK$1</f>
        <v>0.000210144927536232</v>
      </c>
      <c r="AL198" s="0" t="n">
        <f aca="false">$B198/AL$1</f>
        <v>0.000204225352112676</v>
      </c>
      <c r="AM198" s="0" t="n">
        <f aca="false">$B198/AM$1</f>
        <v>0.000198630136986301</v>
      </c>
      <c r="AN198" s="0" t="n">
        <f aca="false">$B198/AN$1</f>
        <v>0.000193333333333333</v>
      </c>
      <c r="AO198" s="0" t="n">
        <f aca="false">$B198/AO$1</f>
        <v>0.000188311688311688</v>
      </c>
      <c r="AP198" s="0" t="n">
        <f aca="false">$B198/AP$1</f>
        <v>0.000183544303797468</v>
      </c>
      <c r="AQ198" s="0" t="n">
        <f aca="false">$B198/AQ$1</f>
        <v>0.000179012345679012</v>
      </c>
      <c r="AR198" s="0" t="n">
        <f aca="false">$B198/AR$1</f>
        <v>0.000174698795180723</v>
      </c>
      <c r="AS198" s="0" t="n">
        <f aca="false">$B198/AS$1</f>
        <v>0.000170588235294118</v>
      </c>
      <c r="AT198" s="0" t="n">
        <f aca="false">$B198/AT$1</f>
        <v>0.000166666666666667</v>
      </c>
      <c r="AU198" s="0" t="n">
        <f aca="false">$B198/AU$1</f>
        <v>0.000162921348314607</v>
      </c>
      <c r="AV198" s="0" t="n">
        <f aca="false">$B198/AV$1</f>
        <v>0.000159340659340659</v>
      </c>
      <c r="AW198" s="0" t="n">
        <f aca="false">$B198/AW$1</f>
        <v>0.000155913978494624</v>
      </c>
      <c r="AX198" s="0" t="n">
        <f aca="false">$B198/AX$1</f>
        <v>0.000152631578947368</v>
      </c>
      <c r="AY198" s="0" t="n">
        <f aca="false">$B198/AY$1</f>
        <v>0.000149484536082474</v>
      </c>
      <c r="AZ198" s="0" t="n">
        <f aca="false">$B198/AZ$1</f>
        <v>0.000146464646464646</v>
      </c>
      <c r="BA198" s="0" t="n">
        <f aca="false">$B198/BA$1</f>
        <v>0.000143564356435644</v>
      </c>
      <c r="BB198" s="0" t="n">
        <f aca="false">$B198/BB$1</f>
        <v>0.000140776699029126</v>
      </c>
      <c r="BC198" s="0" t="n">
        <f aca="false">$B198/BC$1</f>
        <v>0.000138095238095238</v>
      </c>
      <c r="BD198" s="0" t="n">
        <f aca="false">$B198/BD$1</f>
        <v>0.000135514018691589</v>
      </c>
      <c r="BE198" s="0" t="n">
        <f aca="false">$B198/BE$1</f>
        <v>0.00013302752293578</v>
      </c>
      <c r="BF198" s="0" t="n">
        <f aca="false">$B198/BF$1</f>
        <v>0.000130630630630631</v>
      </c>
      <c r="BG198" s="0" t="n">
        <f aca="false">$B198/BG$1</f>
        <v>0.000128318584070796</v>
      </c>
      <c r="BH198" s="0" t="n">
        <f aca="false">$B198/BH$1</f>
        <v>0.000126086956521739</v>
      </c>
      <c r="BI198" s="0" t="n">
        <f aca="false">$B198/BI$1</f>
        <v>0.000123931623931624</v>
      </c>
      <c r="BJ198" s="0" t="n">
        <f aca="false">$B198/BJ$1</f>
        <v>0.000121848739495798</v>
      </c>
      <c r="BL198" s="0" t="n">
        <f aca="false">IF($B$192=1,COUNTIF(C198:BJ198,"&gt;="&amp;$C$192),0)</f>
        <v>2</v>
      </c>
      <c r="BM198" s="0" t="n">
        <f aca="false">IF($B$192=1,IF(OR(BS198&gt;=Settings!$B$5,Settings!$C$19&gt;0),MAX(BL198,Settings!$C$19),0),0)</f>
        <v>4</v>
      </c>
      <c r="BN198" s="0" t="n">
        <f aca="false">IF($B$192=1,IF(OR(BS198&gt;=Settings!$B$5,Settings!$C$19&gt;0),MAX(0,(2*MAX(BL198,Settings!$C$19)+1)*$C$192-BS198),MAX(0,Settings!$B$5-BS198)),"")</f>
        <v>0.0227</v>
      </c>
      <c r="BO198" s="0" t="str">
        <f aca="false">IF($B$192=1,IF(OR(BS198&gt;=Settings!$B$5,Settings!$C$19&gt;0),IF(BL198&lt;=Settings!$C$19,"Protected by electorates",IF(Settings!$C$19=0,MIN(BS198-(2*BL198-1)*$D$192,BS198-Settings!$B$5),BS198-(2*BL198-1)*$D$192)),""),"")</f>
        <v>Protected by electorates</v>
      </c>
      <c r="BP198" s="0" t="n">
        <f aca="false">IF($B$192=1,IF(OR(BS198&gt;=Settings!$B$5,Settings!$C$19&gt;0),MAX(0,MIN(1,(BS198/$C$192-(2*MAX(BL198,Settings!$C$19)-1))/2)),MIN(1,BS198/Settings!$B$5)),"")</f>
        <v>0</v>
      </c>
      <c r="BQ198" s="0" t="n">
        <f aca="false">IF(AND($B$192=1,COUNTIF(C198:BJ198,$C$192)&gt;0),1,0)</f>
        <v>0</v>
      </c>
      <c r="BR198" s="0" t="n">
        <f aca="false">IF(AND($B$192=1,COUNTIF(C198:BJ198,$D$192)&gt;0),1,0)</f>
        <v>0</v>
      </c>
      <c r="BS198" s="0" t="n">
        <f aca="false">N(IF(Polls!M27="",Polls!M37,Polls!M27))</f>
        <v>0.0145</v>
      </c>
      <c r="BT198" s="0" t="str">
        <f aca="false">IF(OR(BS198&gt;=Settings!$B$5,Settings!$C$19&gt;0),"Next seat","Threshold")</f>
        <v>Next seat</v>
      </c>
    </row>
    <row r="199" customFormat="false" ht="15" hidden="false" customHeight="false" outlineLevel="0" collapsed="false">
      <c r="A199" s="0" t="s">
        <v>52</v>
      </c>
      <c r="B199" s="0" t="n">
        <f aca="false">IF(OR(BS199&gt;=Settings!$B$5,Settings!$C$20&gt;0),BS199,0)</f>
        <v>0.0614444444444445</v>
      </c>
      <c r="C199" s="0" t="n">
        <f aca="false">$B199/C$1</f>
        <v>0.0614444444444445</v>
      </c>
      <c r="D199" s="0" t="n">
        <f aca="false">$B199/D$1</f>
        <v>0.0204814814814815</v>
      </c>
      <c r="E199" s="0" t="n">
        <f aca="false">$B199/E$1</f>
        <v>0.0122888888888889</v>
      </c>
      <c r="F199" s="0" t="n">
        <f aca="false">$B199/F$1</f>
        <v>0.00877777777777778</v>
      </c>
      <c r="G199" s="0" t="n">
        <f aca="false">$B199/G$1</f>
        <v>0.00682716049382716</v>
      </c>
      <c r="H199" s="0" t="n">
        <f aca="false">$B199/H$1</f>
        <v>0.00558585858585859</v>
      </c>
      <c r="I199" s="0" t="n">
        <f aca="false">$B199/I$1</f>
        <v>0.00472649572649573</v>
      </c>
      <c r="J199" s="0" t="n">
        <f aca="false">$B199/J$1</f>
        <v>0.0040962962962963</v>
      </c>
      <c r="K199" s="0" t="n">
        <f aca="false">$B199/K$1</f>
        <v>0.00361437908496732</v>
      </c>
      <c r="L199" s="0" t="n">
        <f aca="false">$B199/L$1</f>
        <v>0.00323391812865497</v>
      </c>
      <c r="M199" s="0" t="n">
        <f aca="false">$B199/M$1</f>
        <v>0.00292592592592593</v>
      </c>
      <c r="N199" s="0" t="n">
        <f aca="false">$B199/N$1</f>
        <v>0.00267149758454106</v>
      </c>
      <c r="O199" s="0" t="n">
        <f aca="false">$B199/O$1</f>
        <v>0.00245777777777778</v>
      </c>
      <c r="P199" s="0" t="n">
        <f aca="false">$B199/P$1</f>
        <v>0.00227572016460905</v>
      </c>
      <c r="Q199" s="0" t="n">
        <f aca="false">$B199/Q$1</f>
        <v>0.00211877394636015</v>
      </c>
      <c r="R199" s="0" t="n">
        <f aca="false">$B199/R$1</f>
        <v>0.0019820788530466</v>
      </c>
      <c r="S199" s="0" t="n">
        <f aca="false">$B199/S$1</f>
        <v>0.00186195286195286</v>
      </c>
      <c r="T199" s="0" t="n">
        <f aca="false">$B199/T$1</f>
        <v>0.00175555555555556</v>
      </c>
      <c r="U199" s="0" t="n">
        <f aca="false">$B199/U$1</f>
        <v>0.00166066066066066</v>
      </c>
      <c r="V199" s="0" t="n">
        <f aca="false">$B199/V$1</f>
        <v>0.00157549857549858</v>
      </c>
      <c r="W199" s="0" t="n">
        <f aca="false">$B199/W$1</f>
        <v>0.00149864498644986</v>
      </c>
      <c r="X199" s="0" t="n">
        <f aca="false">$B199/X$1</f>
        <v>0.00142894056847545</v>
      </c>
      <c r="Y199" s="0" t="n">
        <f aca="false">$B199/Y$1</f>
        <v>0.00136543209876543</v>
      </c>
      <c r="Z199" s="0" t="n">
        <f aca="false">$B199/Z$1</f>
        <v>0.00130732860520095</v>
      </c>
      <c r="AA199" s="0" t="n">
        <f aca="false">$B199/AA$1</f>
        <v>0.00125396825396825</v>
      </c>
      <c r="AB199" s="0" t="n">
        <f aca="false">$B199/AB$1</f>
        <v>0.00120479302832244</v>
      </c>
      <c r="AC199" s="0" t="n">
        <f aca="false">$B199/AC$1</f>
        <v>0.00115932914046122</v>
      </c>
      <c r="AD199" s="0" t="n">
        <f aca="false">$B199/AD$1</f>
        <v>0.00111717171717172</v>
      </c>
      <c r="AE199" s="0" t="n">
        <f aca="false">$B199/AE$1</f>
        <v>0.00107797270955166</v>
      </c>
      <c r="AF199" s="0" t="n">
        <f aca="false">$B199/AF$1</f>
        <v>0.00104143126177024</v>
      </c>
      <c r="AG199" s="0" t="n">
        <f aca="false">$B199/AG$1</f>
        <v>0.00100728597449909</v>
      </c>
      <c r="AH199" s="0" t="n">
        <f aca="false">$B199/AH$1</f>
        <v>0.000975308641975309</v>
      </c>
      <c r="AI199" s="0" t="n">
        <f aca="false">$B199/AI$1</f>
        <v>0.000945299145299145</v>
      </c>
      <c r="AJ199" s="0" t="n">
        <f aca="false">$B199/AJ$1</f>
        <v>0.000917081260364843</v>
      </c>
      <c r="AK199" s="0" t="n">
        <f aca="false">$B199/AK$1</f>
        <v>0.000890499194847021</v>
      </c>
      <c r="AL199" s="0" t="n">
        <f aca="false">$B199/AL$1</f>
        <v>0.000865414710485133</v>
      </c>
      <c r="AM199" s="0" t="n">
        <f aca="false">$B199/AM$1</f>
        <v>0.000841704718417047</v>
      </c>
      <c r="AN199" s="0" t="n">
        <f aca="false">$B199/AN$1</f>
        <v>0.000819259259259259</v>
      </c>
      <c r="AO199" s="0" t="n">
        <f aca="false">$B199/AO$1</f>
        <v>0.000797979797979798</v>
      </c>
      <c r="AP199" s="0" t="n">
        <f aca="false">$B199/AP$1</f>
        <v>0.000777777777777778</v>
      </c>
      <c r="AQ199" s="0" t="n">
        <f aca="false">$B199/AQ$1</f>
        <v>0.000758573388203018</v>
      </c>
      <c r="AR199" s="0" t="n">
        <f aca="false">$B199/AR$1</f>
        <v>0.000740294511378849</v>
      </c>
      <c r="AS199" s="0" t="n">
        <f aca="false">$B199/AS$1</f>
        <v>0.000722875816993464</v>
      </c>
      <c r="AT199" s="0" t="n">
        <f aca="false">$B199/AT$1</f>
        <v>0.000706257982120051</v>
      </c>
      <c r="AU199" s="0" t="n">
        <f aca="false">$B199/AU$1</f>
        <v>0.000690387016229713</v>
      </c>
      <c r="AV199" s="0" t="n">
        <f aca="false">$B199/AV$1</f>
        <v>0.000675213675213675</v>
      </c>
      <c r="AW199" s="0" t="n">
        <f aca="false">$B199/AW$1</f>
        <v>0.000660692951015532</v>
      </c>
      <c r="AX199" s="0" t="n">
        <f aca="false">$B199/AX$1</f>
        <v>0.000646783625730994</v>
      </c>
      <c r="AY199" s="0" t="n">
        <f aca="false">$B199/AY$1</f>
        <v>0.000633447880870561</v>
      </c>
      <c r="AZ199" s="0" t="n">
        <f aca="false">$B199/AZ$1</f>
        <v>0.000620650953984287</v>
      </c>
      <c r="BA199" s="0" t="n">
        <f aca="false">$B199/BA$1</f>
        <v>0.000608360836083608</v>
      </c>
      <c r="BB199" s="0" t="n">
        <f aca="false">$B199/BB$1</f>
        <v>0.000596548004314995</v>
      </c>
      <c r="BC199" s="0" t="n">
        <f aca="false">$B199/BC$1</f>
        <v>0.000585185185185185</v>
      </c>
      <c r="BD199" s="0" t="n">
        <f aca="false">$B199/BD$1</f>
        <v>0.000574247144340602</v>
      </c>
      <c r="BE199" s="0" t="n">
        <f aca="false">$B199/BE$1</f>
        <v>0.000563710499490316</v>
      </c>
      <c r="BF199" s="0" t="n">
        <f aca="false">$B199/BF$1</f>
        <v>0.000553553553553554</v>
      </c>
      <c r="BG199" s="0" t="n">
        <f aca="false">$B199/BG$1</f>
        <v>0.000543756145526057</v>
      </c>
      <c r="BH199" s="0" t="n">
        <f aca="false">$B199/BH$1</f>
        <v>0.000534299516908213</v>
      </c>
      <c r="BI199" s="0" t="n">
        <f aca="false">$B199/BI$1</f>
        <v>0.000525166191832859</v>
      </c>
      <c r="BJ199" s="0" t="n">
        <f aca="false">$B199/BJ$1</f>
        <v>0.000516339869281046</v>
      </c>
      <c r="BL199" s="0" t="n">
        <f aca="false">IF($B$192=1,COUNTIF(C199:BJ199,"&gt;="&amp;$C$192),0)</f>
        <v>7</v>
      </c>
      <c r="BM199" s="0" t="n">
        <f aca="false">IF($B$192=1,IF(OR(BS199&gt;=Settings!$B$5,Settings!$C$20&gt;0),MAX(BL199,Settings!$C$20),0),0)</f>
        <v>7</v>
      </c>
      <c r="BN199" s="0" t="n">
        <f aca="false">IF($B$192=1,IF(OR(BS199&gt;=Settings!$B$5,Settings!$C$20&gt;0),MAX(0,(2*MAX(BL199,Settings!$C$20)+1)*$C$192-BS199),MAX(0,Settings!$B$5-BS199)),"")</f>
        <v>0.000555555555555552</v>
      </c>
      <c r="BO199" s="0" t="n">
        <f aca="false">IF($B$192=1,IF(OR(BS199&gt;=Settings!$B$5,Settings!$C$20&gt;0),IF(BL199&lt;=Settings!$C$20,"Protected by electorates",IF(Settings!$C$20=0,MIN(BS199-(2*BL199-1)*$D$192,BS199-Settings!$B$5),BS199-(2*BL199-1)*$D$192)),""),"")</f>
        <v>0.00776972624798712</v>
      </c>
      <c r="BP199" s="0" t="n">
        <f aca="false">IF($B$192=1,IF(OR(BS199&gt;=Settings!$B$5,Settings!$C$20&gt;0),MAX(0,MIN(1,(BS199/$C$192-(2*MAX(BL199,Settings!$C$20)-1))/2)),MIN(1,BS199/Settings!$B$5)),"")</f>
        <v>0.932795698924731</v>
      </c>
      <c r="BQ199" s="0" t="n">
        <f aca="false">IF(AND($B$192=1,COUNTIF(C199:BJ199,$C$192)&gt;0),1,0)</f>
        <v>0</v>
      </c>
      <c r="BR199" s="0" t="n">
        <f aca="false">IF(AND($B$192=1,COUNTIF(C199:BJ199,$D$192)&gt;0),1,0)</f>
        <v>0</v>
      </c>
      <c r="BS199" s="0" t="n">
        <f aca="false">N(IF(Polls!N27="",Polls!N37,Polls!N27))</f>
        <v>0.0614444444444445</v>
      </c>
      <c r="BT199" s="0" t="str">
        <f aca="false">IF(OR(BS199&gt;=Settings!$B$5,Settings!$C$20&gt;0),"Next seat","Threshold")</f>
        <v>Next seat</v>
      </c>
    </row>
    <row r="201" customFormat="false" ht="15" hidden="false" customHeight="false" outlineLevel="0" collapsed="false">
      <c r="A201" s="41" t="n">
        <f aca="false">Polls!A28</f>
        <v>0</v>
      </c>
      <c r="B201" s="17" t="n">
        <f aca="false">IF(SUM(BS202:BS208)&gt;0,1,0)</f>
        <v>1</v>
      </c>
      <c r="C201" s="17" t="n">
        <f aca="false">IF(B201=1,LARGE(C202:BJ208,Settings!$B$4),0)</f>
        <v>0.00413333333333333</v>
      </c>
      <c r="D201" s="17" t="n">
        <f aca="false">IF(B201=1,LARGE(C202:BJ208,Settings!$B$4+1),0)</f>
        <v>0.00412882447665056</v>
      </c>
      <c r="E201" s="0" t="str">
        <f aca="false">IF(B201=1,IFERROR(INDEX(A202:A208,MATCH(1,BQ202:BQ208,0)),""),"")</f>
        <v>NZF</v>
      </c>
      <c r="F201" s="0" t="str">
        <f aca="false">IF(B201=1,IFERROR(INDEX(A202:A208,MATCH(1,BR202:BR208,0)),""),"")</f>
        <v>NAT</v>
      </c>
      <c r="G201" s="17" t="n">
        <f aca="false">IF(B201=1,SUM(BM202:BM208)+Settings!$B$10,"")</f>
        <v>122</v>
      </c>
    </row>
    <row r="202" customFormat="false" ht="15" hidden="false" customHeight="false" outlineLevel="0" collapsed="false">
      <c r="A202" s="0" t="s">
        <v>41</v>
      </c>
      <c r="B202" s="0" t="n">
        <f aca="false">IF(OR(BS202&gt;=Settings!$B$5,Settings!$C$14&gt;0),BS202,0)</f>
        <v>0.284888888888889</v>
      </c>
      <c r="C202" s="0" t="n">
        <f aca="false">$B202/C$1</f>
        <v>0.284888888888889</v>
      </c>
      <c r="D202" s="0" t="n">
        <f aca="false">$B202/D$1</f>
        <v>0.094962962962963</v>
      </c>
      <c r="E202" s="0" t="n">
        <f aca="false">$B202/E$1</f>
        <v>0.0569777777777778</v>
      </c>
      <c r="F202" s="0" t="n">
        <f aca="false">$B202/F$1</f>
        <v>0.0406984126984127</v>
      </c>
      <c r="G202" s="0" t="n">
        <f aca="false">$B202/G$1</f>
        <v>0.0316543209876543</v>
      </c>
      <c r="H202" s="0" t="n">
        <f aca="false">$B202/H$1</f>
        <v>0.0258989898989899</v>
      </c>
      <c r="I202" s="0" t="n">
        <f aca="false">$B202/I$1</f>
        <v>0.0219145299145299</v>
      </c>
      <c r="J202" s="0" t="n">
        <f aca="false">$B202/J$1</f>
        <v>0.0189925925925926</v>
      </c>
      <c r="K202" s="0" t="n">
        <f aca="false">$B202/K$1</f>
        <v>0.0167581699346405</v>
      </c>
      <c r="L202" s="0" t="n">
        <f aca="false">$B202/L$1</f>
        <v>0.0149941520467836</v>
      </c>
      <c r="M202" s="0" t="n">
        <f aca="false">$B202/M$1</f>
        <v>0.0135661375661376</v>
      </c>
      <c r="N202" s="0" t="n">
        <f aca="false">$B202/N$1</f>
        <v>0.0123864734299517</v>
      </c>
      <c r="O202" s="0" t="n">
        <f aca="false">$B202/O$1</f>
        <v>0.0113955555555556</v>
      </c>
      <c r="P202" s="0" t="n">
        <f aca="false">$B202/P$1</f>
        <v>0.0105514403292181</v>
      </c>
      <c r="Q202" s="0" t="n">
        <f aca="false">$B202/Q$1</f>
        <v>0.00982375478927203</v>
      </c>
      <c r="R202" s="0" t="n">
        <f aca="false">$B202/R$1</f>
        <v>0.0091899641577061</v>
      </c>
      <c r="S202" s="0" t="n">
        <f aca="false">$B202/S$1</f>
        <v>0.00863299663299663</v>
      </c>
      <c r="T202" s="0" t="n">
        <f aca="false">$B202/T$1</f>
        <v>0.00813968253968254</v>
      </c>
      <c r="U202" s="0" t="n">
        <f aca="false">$B202/U$1</f>
        <v>0.0076996996996997</v>
      </c>
      <c r="V202" s="0" t="n">
        <f aca="false">$B202/V$1</f>
        <v>0.00730484330484331</v>
      </c>
      <c r="W202" s="0" t="n">
        <f aca="false">$B202/W$1</f>
        <v>0.00694850948509485</v>
      </c>
      <c r="X202" s="0" t="n">
        <f aca="false">$B202/X$1</f>
        <v>0.00662532299741602</v>
      </c>
      <c r="Y202" s="0" t="n">
        <f aca="false">$B202/Y$1</f>
        <v>0.00633086419753086</v>
      </c>
      <c r="Z202" s="0" t="n">
        <f aca="false">$B202/Z$1</f>
        <v>0.00606146572104019</v>
      </c>
      <c r="AA202" s="0" t="n">
        <f aca="false">$B202/AA$1</f>
        <v>0.0058140589569161</v>
      </c>
      <c r="AB202" s="0" t="n">
        <f aca="false">$B202/AB$1</f>
        <v>0.00558605664488018</v>
      </c>
      <c r="AC202" s="0" t="n">
        <f aca="false">$B202/AC$1</f>
        <v>0.00537526205450734</v>
      </c>
      <c r="AD202" s="0" t="n">
        <f aca="false">$B202/AD$1</f>
        <v>0.00517979797979798</v>
      </c>
      <c r="AE202" s="0" t="n">
        <f aca="false">$B202/AE$1</f>
        <v>0.00499805068226121</v>
      </c>
      <c r="AF202" s="0" t="n">
        <f aca="false">$B202/AF$1</f>
        <v>0.0048286252354049</v>
      </c>
      <c r="AG202" s="0" t="n">
        <f aca="false">$B202/AG$1</f>
        <v>0.00467030965391621</v>
      </c>
      <c r="AH202" s="0" t="n">
        <f aca="false">$B202/AH$1</f>
        <v>0.00452204585537919</v>
      </c>
      <c r="AI202" s="0" t="n">
        <f aca="false">$B202/AI$1</f>
        <v>0.00438290598290598</v>
      </c>
      <c r="AJ202" s="0" t="n">
        <f aca="false">$B202/AJ$1</f>
        <v>0.00425207296849088</v>
      </c>
      <c r="AK202" s="0" t="n">
        <f aca="false">$B202/AK$1</f>
        <v>0.00412882447665056</v>
      </c>
      <c r="AL202" s="0" t="n">
        <f aca="false">$B202/AL$1</f>
        <v>0.00401251956181534</v>
      </c>
      <c r="AM202" s="0" t="n">
        <f aca="false">$B202/AM$1</f>
        <v>0.00390258751902588</v>
      </c>
      <c r="AN202" s="0" t="n">
        <f aca="false">$B202/AN$1</f>
        <v>0.00379851851851852</v>
      </c>
      <c r="AO202" s="0" t="n">
        <f aca="false">$B202/AO$1</f>
        <v>0.0036998556998557</v>
      </c>
      <c r="AP202" s="0" t="n">
        <f aca="false">$B202/AP$1</f>
        <v>0.00360618846694796</v>
      </c>
      <c r="AQ202" s="0" t="n">
        <f aca="false">$B202/AQ$1</f>
        <v>0.00351714677640604</v>
      </c>
      <c r="AR202" s="0" t="n">
        <f aca="false">$B202/AR$1</f>
        <v>0.00343239625167336</v>
      </c>
      <c r="AS202" s="0" t="n">
        <f aca="false">$B202/AS$1</f>
        <v>0.00335163398692811</v>
      </c>
      <c r="AT202" s="0" t="n">
        <f aca="false">$B202/AT$1</f>
        <v>0.00327458492975734</v>
      </c>
      <c r="AU202" s="0" t="n">
        <f aca="false">$B202/AU$1</f>
        <v>0.00320099875156055</v>
      </c>
      <c r="AV202" s="0" t="n">
        <f aca="false">$B202/AV$1</f>
        <v>0.00313064713064713</v>
      </c>
      <c r="AW202" s="0" t="n">
        <f aca="false">$B202/AW$1</f>
        <v>0.00306332138590203</v>
      </c>
      <c r="AX202" s="0" t="n">
        <f aca="false">$B202/AX$1</f>
        <v>0.00299883040935673</v>
      </c>
      <c r="AY202" s="0" t="n">
        <f aca="false">$B202/AY$1</f>
        <v>0.00293699885452463</v>
      </c>
      <c r="AZ202" s="0" t="n">
        <f aca="false">$B202/AZ$1</f>
        <v>0.00287766554433221</v>
      </c>
      <c r="BA202" s="0" t="n">
        <f aca="false">$B202/BA$1</f>
        <v>0.00282068206820682</v>
      </c>
      <c r="BB202" s="0" t="n">
        <f aca="false">$B202/BB$1</f>
        <v>0.00276591154261057</v>
      </c>
      <c r="BC202" s="0" t="n">
        <f aca="false">$B202/BC$1</f>
        <v>0.00271322751322751</v>
      </c>
      <c r="BD202" s="0" t="n">
        <f aca="false">$B202/BD$1</f>
        <v>0.00266251298026999</v>
      </c>
      <c r="BE202" s="0" t="n">
        <f aca="false">$B202/BE$1</f>
        <v>0.00261365953109072</v>
      </c>
      <c r="BF202" s="0" t="n">
        <f aca="false">$B202/BF$1</f>
        <v>0.00256656656656657</v>
      </c>
      <c r="BG202" s="0" t="n">
        <f aca="false">$B202/BG$1</f>
        <v>0.00252114060963619</v>
      </c>
      <c r="BH202" s="0" t="n">
        <f aca="false">$B202/BH$1</f>
        <v>0.00247729468599034</v>
      </c>
      <c r="BI202" s="0" t="n">
        <f aca="false">$B202/BI$1</f>
        <v>0.0024349477682811</v>
      </c>
      <c r="BJ202" s="0" t="n">
        <f aca="false">$B202/BJ$1</f>
        <v>0.00239402427637722</v>
      </c>
      <c r="BL202" s="0" t="n">
        <f aca="false">IF($B$201=1,COUNTIF(C202:BJ202,"&gt;="&amp;$C$201),0)</f>
        <v>34</v>
      </c>
      <c r="BM202" s="0" t="n">
        <f aca="false">IF($B$201=1,IF(OR(BS202&gt;=Settings!$B$5,Settings!$C$14&gt;0),MAX(BL202,Settings!$C$14),0),0)</f>
        <v>34</v>
      </c>
      <c r="BN202" s="0" t="n">
        <f aca="false">IF($B$201=1,IF(OR(BS202&gt;=Settings!$B$5,Settings!$C$14&gt;0),MAX(0,(2*MAX(BL202,Settings!$C$14)+1)*$C$201-BS202),MAX(0,Settings!$B$5-BS202)),"")</f>
        <v>0.000311111111111095</v>
      </c>
      <c r="BO202" s="0" t="n">
        <f aca="false">IF($B$201=1,IF(OR(BS202&gt;=Settings!$B$5,Settings!$C$14&gt;0),IF(BL202&lt;=Settings!$C$14,"Protected by electorates",IF(Settings!$C$14=0,MIN(BS202-(2*BL202-1)*$D$201,BS202-Settings!$B$5),BS202-(2*BL202-1)*$D$201)),""),"")</f>
        <v>0.00825764895330111</v>
      </c>
      <c r="BP202" s="0" t="n">
        <f aca="false">IF($B$201=1,IF(OR(BS202&gt;=Settings!$B$5,Settings!$C$14&gt;0),MAX(0,MIN(1,(BS202/$C$201-(2*MAX(BL202,Settings!$C$14)-1))/2)),MIN(1,BS202/Settings!$B$5)),"")</f>
        <v>0.962365591397848</v>
      </c>
      <c r="BQ202" s="0" t="n">
        <f aca="false">IF(AND($B$201=1,COUNTIF(C202:BJ202,$C$201)&gt;0),1,0)</f>
        <v>0</v>
      </c>
      <c r="BR202" s="0" t="n">
        <f aca="false">IF(AND($B$201=1,COUNTIF(C202:BJ202,$D$201)&gt;0),1,0)</f>
        <v>1</v>
      </c>
      <c r="BS202" s="0" t="n">
        <f aca="false">N(IF(Polls!H28="",Polls!H37,Polls!H28))</f>
        <v>0.284888888888889</v>
      </c>
      <c r="BT202" s="0" t="str">
        <f aca="false">IF(OR(BS202&gt;=Settings!$B$5,Settings!$C$14&gt;0),"Next seat","Threshold")</f>
        <v>Next seat</v>
      </c>
    </row>
    <row r="203" customFormat="false" ht="15" hidden="false" customHeight="false" outlineLevel="0" collapsed="false">
      <c r="A203" s="0" t="s">
        <v>43</v>
      </c>
      <c r="B203" s="0" t="n">
        <f aca="false">IF(OR(BS203&gt;=Settings!$B$5,Settings!$C$15&gt;0),BS203,0)</f>
        <v>0.279333333333333</v>
      </c>
      <c r="C203" s="0" t="n">
        <f aca="false">$B203/C$1</f>
        <v>0.279333333333333</v>
      </c>
      <c r="D203" s="0" t="n">
        <f aca="false">$B203/D$1</f>
        <v>0.0931111111111111</v>
      </c>
      <c r="E203" s="0" t="n">
        <f aca="false">$B203/E$1</f>
        <v>0.0558666666666667</v>
      </c>
      <c r="F203" s="0" t="n">
        <f aca="false">$B203/F$1</f>
        <v>0.0399047619047619</v>
      </c>
      <c r="G203" s="0" t="n">
        <f aca="false">$B203/G$1</f>
        <v>0.031037037037037</v>
      </c>
      <c r="H203" s="0" t="n">
        <f aca="false">$B203/H$1</f>
        <v>0.0253939393939394</v>
      </c>
      <c r="I203" s="0" t="n">
        <f aca="false">$B203/I$1</f>
        <v>0.0214871794871795</v>
      </c>
      <c r="J203" s="0" t="n">
        <f aca="false">$B203/J$1</f>
        <v>0.0186222222222222</v>
      </c>
      <c r="K203" s="0" t="n">
        <f aca="false">$B203/K$1</f>
        <v>0.0164313725490196</v>
      </c>
      <c r="L203" s="0" t="n">
        <f aca="false">$B203/L$1</f>
        <v>0.0147017543859649</v>
      </c>
      <c r="M203" s="0" t="n">
        <f aca="false">$B203/M$1</f>
        <v>0.0133015873015873</v>
      </c>
      <c r="N203" s="0" t="n">
        <f aca="false">$B203/N$1</f>
        <v>0.0121449275362319</v>
      </c>
      <c r="O203" s="0" t="n">
        <f aca="false">$B203/O$1</f>
        <v>0.0111733333333333</v>
      </c>
      <c r="P203" s="0" t="n">
        <f aca="false">$B203/P$1</f>
        <v>0.0103456790123457</v>
      </c>
      <c r="Q203" s="0" t="n">
        <f aca="false">$B203/Q$1</f>
        <v>0.00963218390804598</v>
      </c>
      <c r="R203" s="0" t="n">
        <f aca="false">$B203/R$1</f>
        <v>0.00901075268817204</v>
      </c>
      <c r="S203" s="0" t="n">
        <f aca="false">$B203/S$1</f>
        <v>0.00846464646464647</v>
      </c>
      <c r="T203" s="0" t="n">
        <f aca="false">$B203/T$1</f>
        <v>0.00798095238095238</v>
      </c>
      <c r="U203" s="0" t="n">
        <f aca="false">$B203/U$1</f>
        <v>0.00754954954954955</v>
      </c>
      <c r="V203" s="0" t="n">
        <f aca="false">$B203/V$1</f>
        <v>0.00716239316239316</v>
      </c>
      <c r="W203" s="0" t="n">
        <f aca="false">$B203/W$1</f>
        <v>0.0068130081300813</v>
      </c>
      <c r="X203" s="0" t="n">
        <f aca="false">$B203/X$1</f>
        <v>0.00649612403100775</v>
      </c>
      <c r="Y203" s="0" t="n">
        <f aca="false">$B203/Y$1</f>
        <v>0.00620740740740741</v>
      </c>
      <c r="Z203" s="0" t="n">
        <f aca="false">$B203/Z$1</f>
        <v>0.00594326241134752</v>
      </c>
      <c r="AA203" s="0" t="n">
        <f aca="false">$B203/AA$1</f>
        <v>0.00570068027210885</v>
      </c>
      <c r="AB203" s="0" t="n">
        <f aca="false">$B203/AB$1</f>
        <v>0.00547712418300654</v>
      </c>
      <c r="AC203" s="0" t="n">
        <f aca="false">$B203/AC$1</f>
        <v>0.00527044025157233</v>
      </c>
      <c r="AD203" s="0" t="n">
        <f aca="false">$B203/AD$1</f>
        <v>0.00507878787878788</v>
      </c>
      <c r="AE203" s="0" t="n">
        <f aca="false">$B203/AE$1</f>
        <v>0.00490058479532164</v>
      </c>
      <c r="AF203" s="0" t="n">
        <f aca="false">$B203/AF$1</f>
        <v>0.00473446327683616</v>
      </c>
      <c r="AG203" s="0" t="n">
        <f aca="false">$B203/AG$1</f>
        <v>0.0045792349726776</v>
      </c>
      <c r="AH203" s="0" t="n">
        <f aca="false">$B203/AH$1</f>
        <v>0.00443386243386244</v>
      </c>
      <c r="AI203" s="0" t="n">
        <f aca="false">$B203/AI$1</f>
        <v>0.0042974358974359</v>
      </c>
      <c r="AJ203" s="0" t="n">
        <f aca="false">$B203/AJ$1</f>
        <v>0.00416915422885572</v>
      </c>
      <c r="AK203" s="0" t="n">
        <f aca="false">$B203/AK$1</f>
        <v>0.00404830917874396</v>
      </c>
      <c r="AL203" s="0" t="n">
        <f aca="false">$B203/AL$1</f>
        <v>0.00393427230046948</v>
      </c>
      <c r="AM203" s="0" t="n">
        <f aca="false">$B203/AM$1</f>
        <v>0.00382648401826484</v>
      </c>
      <c r="AN203" s="0" t="n">
        <f aca="false">$B203/AN$1</f>
        <v>0.00372444444444445</v>
      </c>
      <c r="AO203" s="0" t="n">
        <f aca="false">$B203/AO$1</f>
        <v>0.00362770562770563</v>
      </c>
      <c r="AP203" s="0" t="n">
        <f aca="false">$B203/AP$1</f>
        <v>0.00353586497890295</v>
      </c>
      <c r="AQ203" s="0" t="n">
        <f aca="false">$B203/AQ$1</f>
        <v>0.00344855967078189</v>
      </c>
      <c r="AR203" s="0" t="n">
        <f aca="false">$B203/AR$1</f>
        <v>0.00336546184738956</v>
      </c>
      <c r="AS203" s="0" t="n">
        <f aca="false">$B203/AS$1</f>
        <v>0.00328627450980392</v>
      </c>
      <c r="AT203" s="0" t="n">
        <f aca="false">$B203/AT$1</f>
        <v>0.00321072796934866</v>
      </c>
      <c r="AU203" s="0" t="n">
        <f aca="false">$B203/AU$1</f>
        <v>0.00313857677902622</v>
      </c>
      <c r="AV203" s="0" t="n">
        <f aca="false">$B203/AV$1</f>
        <v>0.00306959706959707</v>
      </c>
      <c r="AW203" s="0" t="n">
        <f aca="false">$B203/AW$1</f>
        <v>0.00300358422939068</v>
      </c>
      <c r="AX203" s="0" t="n">
        <f aca="false">$B203/AX$1</f>
        <v>0.00294035087719298</v>
      </c>
      <c r="AY203" s="0" t="n">
        <f aca="false">$B203/AY$1</f>
        <v>0.00287972508591065</v>
      </c>
      <c r="AZ203" s="0" t="n">
        <f aca="false">$B203/AZ$1</f>
        <v>0.00282154882154882</v>
      </c>
      <c r="BA203" s="0" t="n">
        <f aca="false">$B203/BA$1</f>
        <v>0.00276567656765677</v>
      </c>
      <c r="BB203" s="0" t="n">
        <f aca="false">$B203/BB$1</f>
        <v>0.00271197411003236</v>
      </c>
      <c r="BC203" s="0" t="n">
        <f aca="false">$B203/BC$1</f>
        <v>0.00266031746031746</v>
      </c>
      <c r="BD203" s="0" t="n">
        <f aca="false">$B203/BD$1</f>
        <v>0.00261059190031153</v>
      </c>
      <c r="BE203" s="0" t="n">
        <f aca="false">$B203/BE$1</f>
        <v>0.00256269113149847</v>
      </c>
      <c r="BF203" s="0" t="n">
        <f aca="false">$B203/BF$1</f>
        <v>0.00251651651651652</v>
      </c>
      <c r="BG203" s="0" t="n">
        <f aca="false">$B203/BG$1</f>
        <v>0.00247197640117994</v>
      </c>
      <c r="BH203" s="0" t="n">
        <f aca="false">$B203/BH$1</f>
        <v>0.00242898550724638</v>
      </c>
      <c r="BI203" s="0" t="n">
        <f aca="false">$B203/BI$1</f>
        <v>0.00238746438746439</v>
      </c>
      <c r="BJ203" s="0" t="n">
        <f aca="false">$B203/BJ$1</f>
        <v>0.00234733893557423</v>
      </c>
      <c r="BL203" s="0" t="n">
        <f aca="false">IF($B$201=1,COUNTIF(C203:BJ203,"&gt;="&amp;$C$201),0)</f>
        <v>34</v>
      </c>
      <c r="BM203" s="0" t="n">
        <f aca="false">IF($B$201=1,IF(OR(BS203&gt;=Settings!$B$5,Settings!$C$15&gt;0),MAX(BL203,Settings!$C$15),0),0)</f>
        <v>34</v>
      </c>
      <c r="BN203" s="0" t="n">
        <f aca="false">IF($B$201=1,IF(OR(BS203&gt;=Settings!$B$5,Settings!$C$15&gt;0),MAX(0,(2*MAX(BL203,Settings!$C$15)+1)*$C$201-BS203),MAX(0,Settings!$B$5-BS203)),"")</f>
        <v>0.00586666666666663</v>
      </c>
      <c r="BO203" s="0" t="n">
        <f aca="false">IF($B$201=1,IF(OR(BS203&gt;=Settings!$B$5,Settings!$C$15&gt;0),IF(BL203&lt;=Settings!$C$15,"Protected by electorates",IF(Settings!$C$15=0,MIN(BS203-(2*BL203-1)*$D$201,BS203-Settings!$B$5),BS203-(2*BL203-1)*$D$201)),""),"")</f>
        <v>0.00270209339774558</v>
      </c>
      <c r="BP203" s="0" t="n">
        <f aca="false">IF($B$201=1,IF(OR(BS203&gt;=Settings!$B$5,Settings!$C$15&gt;0),MAX(0,MIN(1,(BS203/$C$201-(2*MAX(BL203,Settings!$C$15)-1))/2)),MIN(1,BS203/Settings!$B$5)),"")</f>
        <v>0.290322580645167</v>
      </c>
      <c r="BQ203" s="0" t="n">
        <f aca="false">IF(AND($B$201=1,COUNTIF(C203:BJ203,$C$201)&gt;0),1,0)</f>
        <v>0</v>
      </c>
      <c r="BR203" s="0" t="n">
        <f aca="false">IF(AND($B$201=1,COUNTIF(C203:BJ203,$D$201)&gt;0),1,0)</f>
        <v>0</v>
      </c>
      <c r="BS203" s="0" t="n">
        <f aca="false">N(IF(Polls!I28="",Polls!I37,Polls!I28))</f>
        <v>0.279333333333333</v>
      </c>
      <c r="BT203" s="0" t="str">
        <f aca="false">IF(OR(BS203&gt;=Settings!$B$5,Settings!$C$15&gt;0),"Next seat","Threshold")</f>
        <v>Next seat</v>
      </c>
    </row>
    <row r="204" customFormat="false" ht="15" hidden="false" customHeight="false" outlineLevel="0" collapsed="false">
      <c r="A204" s="0" t="s">
        <v>45</v>
      </c>
      <c r="B204" s="0" t="n">
        <f aca="false">IF(OR(BS204&gt;=Settings!$B$5,Settings!$C$16&gt;0),BS204,0)</f>
        <v>0.145555555555556</v>
      </c>
      <c r="C204" s="0" t="n">
        <f aca="false">$B204/C$1</f>
        <v>0.145555555555556</v>
      </c>
      <c r="D204" s="0" t="n">
        <f aca="false">$B204/D$1</f>
        <v>0.0485185185185185</v>
      </c>
      <c r="E204" s="0" t="n">
        <f aca="false">$B204/E$1</f>
        <v>0.0291111111111111</v>
      </c>
      <c r="F204" s="0" t="n">
        <f aca="false">$B204/F$1</f>
        <v>0.0207936507936508</v>
      </c>
      <c r="G204" s="0" t="n">
        <f aca="false">$B204/G$1</f>
        <v>0.0161728395061728</v>
      </c>
      <c r="H204" s="0" t="n">
        <f aca="false">$B204/H$1</f>
        <v>0.0132323232323232</v>
      </c>
      <c r="I204" s="0" t="n">
        <f aca="false">$B204/I$1</f>
        <v>0.0111965811965812</v>
      </c>
      <c r="J204" s="0" t="n">
        <f aca="false">$B204/J$1</f>
        <v>0.0097037037037037</v>
      </c>
      <c r="K204" s="0" t="n">
        <f aca="false">$B204/K$1</f>
        <v>0.00856209150326797</v>
      </c>
      <c r="L204" s="0" t="n">
        <f aca="false">$B204/L$1</f>
        <v>0.00766081871345029</v>
      </c>
      <c r="M204" s="0" t="n">
        <f aca="false">$B204/M$1</f>
        <v>0.00693121693121693</v>
      </c>
      <c r="N204" s="0" t="n">
        <f aca="false">$B204/N$1</f>
        <v>0.00632850241545894</v>
      </c>
      <c r="O204" s="0" t="n">
        <f aca="false">$B204/O$1</f>
        <v>0.00582222222222222</v>
      </c>
      <c r="P204" s="0" t="n">
        <f aca="false">$B204/P$1</f>
        <v>0.00539094650205761</v>
      </c>
      <c r="Q204" s="0" t="n">
        <f aca="false">$B204/Q$1</f>
        <v>0.00501915708812261</v>
      </c>
      <c r="R204" s="0" t="n">
        <f aca="false">$B204/R$1</f>
        <v>0.00469534050179212</v>
      </c>
      <c r="S204" s="0" t="n">
        <f aca="false">$B204/S$1</f>
        <v>0.00441077441077441</v>
      </c>
      <c r="T204" s="0" t="n">
        <f aca="false">$B204/T$1</f>
        <v>0.00415873015873016</v>
      </c>
      <c r="U204" s="0" t="n">
        <f aca="false">$B204/U$1</f>
        <v>0.00393393393393393</v>
      </c>
      <c r="V204" s="0" t="n">
        <f aca="false">$B204/V$1</f>
        <v>0.00373219373219373</v>
      </c>
      <c r="W204" s="0" t="n">
        <f aca="false">$B204/W$1</f>
        <v>0.00355013550135501</v>
      </c>
      <c r="X204" s="0" t="n">
        <f aca="false">$B204/X$1</f>
        <v>0.00338501291989664</v>
      </c>
      <c r="Y204" s="0" t="n">
        <f aca="false">$B204/Y$1</f>
        <v>0.00323456790123457</v>
      </c>
      <c r="Z204" s="0" t="n">
        <f aca="false">$B204/Z$1</f>
        <v>0.00309692671394799</v>
      </c>
      <c r="AA204" s="0" t="n">
        <f aca="false">$B204/AA$1</f>
        <v>0.00297052154195011</v>
      </c>
      <c r="AB204" s="0" t="n">
        <f aca="false">$B204/AB$1</f>
        <v>0.00285403050108932</v>
      </c>
      <c r="AC204" s="0" t="n">
        <f aca="false">$B204/AC$1</f>
        <v>0.00274633123689727</v>
      </c>
      <c r="AD204" s="0" t="n">
        <f aca="false">$B204/AD$1</f>
        <v>0.00264646464646465</v>
      </c>
      <c r="AE204" s="0" t="n">
        <f aca="false">$B204/AE$1</f>
        <v>0.00255360623781676</v>
      </c>
      <c r="AF204" s="0" t="n">
        <f aca="false">$B204/AF$1</f>
        <v>0.00246704331450094</v>
      </c>
      <c r="AG204" s="0" t="n">
        <f aca="false">$B204/AG$1</f>
        <v>0.00238615664845173</v>
      </c>
      <c r="AH204" s="0" t="n">
        <f aca="false">$B204/AH$1</f>
        <v>0.00231040564373898</v>
      </c>
      <c r="AI204" s="0" t="n">
        <f aca="false">$B204/AI$1</f>
        <v>0.00223931623931624</v>
      </c>
      <c r="AJ204" s="0" t="n">
        <f aca="false">$B204/AJ$1</f>
        <v>0.00217247097844113</v>
      </c>
      <c r="AK204" s="0" t="n">
        <f aca="false">$B204/AK$1</f>
        <v>0.00210950080515298</v>
      </c>
      <c r="AL204" s="0" t="n">
        <f aca="false">$B204/AL$1</f>
        <v>0.00205007824726135</v>
      </c>
      <c r="AM204" s="0" t="n">
        <f aca="false">$B204/AM$1</f>
        <v>0.00199391171993912</v>
      </c>
      <c r="AN204" s="0" t="n">
        <f aca="false">$B204/AN$1</f>
        <v>0.00194074074074074</v>
      </c>
      <c r="AO204" s="0" t="n">
        <f aca="false">$B204/AO$1</f>
        <v>0.00189033189033189</v>
      </c>
      <c r="AP204" s="0" t="n">
        <f aca="false">$B204/AP$1</f>
        <v>0.00184247538677918</v>
      </c>
      <c r="AQ204" s="0" t="n">
        <f aca="false">$B204/AQ$1</f>
        <v>0.00179698216735254</v>
      </c>
      <c r="AR204" s="0" t="n">
        <f aca="false">$B204/AR$1</f>
        <v>0.00175368139223561</v>
      </c>
      <c r="AS204" s="0" t="n">
        <f aca="false">$B204/AS$1</f>
        <v>0.00171241830065359</v>
      </c>
      <c r="AT204" s="0" t="n">
        <f aca="false">$B204/AT$1</f>
        <v>0.00167305236270754</v>
      </c>
      <c r="AU204" s="0" t="n">
        <f aca="false">$B204/AU$1</f>
        <v>0.0016354556803995</v>
      </c>
      <c r="AV204" s="0" t="n">
        <f aca="false">$B204/AV$1</f>
        <v>0.0015995115995116</v>
      </c>
      <c r="AW204" s="0" t="n">
        <f aca="false">$B204/AW$1</f>
        <v>0.00156511350059737</v>
      </c>
      <c r="AX204" s="0" t="n">
        <f aca="false">$B204/AX$1</f>
        <v>0.00153216374269006</v>
      </c>
      <c r="AY204" s="0" t="n">
        <f aca="false">$B204/AY$1</f>
        <v>0.00150057273768614</v>
      </c>
      <c r="AZ204" s="0" t="n">
        <f aca="false">$B204/AZ$1</f>
        <v>0.0014702581369248</v>
      </c>
      <c r="BA204" s="0" t="n">
        <f aca="false">$B204/BA$1</f>
        <v>0.00144114411441144</v>
      </c>
      <c r="BB204" s="0" t="n">
        <f aca="false">$B204/BB$1</f>
        <v>0.00141316073354908</v>
      </c>
      <c r="BC204" s="0" t="n">
        <f aca="false">$B204/BC$1</f>
        <v>0.00138624338624339</v>
      </c>
      <c r="BD204" s="0" t="n">
        <f aca="false">$B204/BD$1</f>
        <v>0.00136033229491173</v>
      </c>
      <c r="BE204" s="0" t="n">
        <f aca="false">$B204/BE$1</f>
        <v>0.00133537206931702</v>
      </c>
      <c r="BF204" s="0" t="n">
        <f aca="false">$B204/BF$1</f>
        <v>0.00131131131131131</v>
      </c>
      <c r="BG204" s="0" t="n">
        <f aca="false">$B204/BG$1</f>
        <v>0.00128810226155359</v>
      </c>
      <c r="BH204" s="0" t="n">
        <f aca="false">$B204/BH$1</f>
        <v>0.00126570048309179</v>
      </c>
      <c r="BI204" s="0" t="n">
        <f aca="false">$B204/BI$1</f>
        <v>0.00124406457739791</v>
      </c>
      <c r="BJ204" s="0" t="n">
        <f aca="false">$B204/BJ$1</f>
        <v>0.00122315592903828</v>
      </c>
      <c r="BL204" s="0" t="n">
        <f aca="false">IF($B$201=1,COUNTIF(C204:BJ204,"&gt;="&amp;$C$201),0)</f>
        <v>18</v>
      </c>
      <c r="BM204" s="0" t="n">
        <f aca="false">IF($B$201=1,IF(OR(BS204&gt;=Settings!$B$5,Settings!$C$16&gt;0),MAX(BL204,Settings!$C$16),0),0)</f>
        <v>18</v>
      </c>
      <c r="BN204" s="0" t="n">
        <f aca="false">IF($B$201=1,IF(OR(BS204&gt;=Settings!$B$5,Settings!$C$16&gt;0),MAX(0,(2*MAX(BL204,Settings!$C$16)+1)*$C$201-BS204),MAX(0,Settings!$B$5-BS204)),"")</f>
        <v>0.00737777777777779</v>
      </c>
      <c r="BO204" s="0" t="n">
        <f aca="false">IF($B$201=1,IF(OR(BS204&gt;=Settings!$B$5,Settings!$C$16&gt;0),IF(BL204&lt;=Settings!$C$16,"Protected by electorates",IF(Settings!$C$16=0,MIN(BS204-(2*BL204-1)*$D$201,BS204-Settings!$B$5),BS204-(2*BL204-1)*$D$201)),""),"")</f>
        <v>0.0010466988727858</v>
      </c>
      <c r="BP204" s="0" t="n">
        <f aca="false">IF($B$201=1,IF(OR(BS204&gt;=Settings!$B$5,Settings!$C$16&gt;0),MAX(0,MIN(1,(BS204/$C$201-(2*MAX(BL204,Settings!$C$16)-1))/2)),MIN(1,BS204/Settings!$B$5)),"")</f>
        <v>0.107526881720428</v>
      </c>
      <c r="BQ204" s="0" t="n">
        <f aca="false">IF(AND($B$201=1,COUNTIF(C204:BJ204,$C$201)&gt;0),1,0)</f>
        <v>0</v>
      </c>
      <c r="BR204" s="0" t="n">
        <f aca="false">IF(AND($B$201=1,COUNTIF(C204:BJ204,$D$201)&gt;0),1,0)</f>
        <v>0</v>
      </c>
      <c r="BS204" s="0" t="n">
        <f aca="false">N(IF(Polls!J28="",Polls!J37,Polls!J28))</f>
        <v>0.145555555555556</v>
      </c>
      <c r="BT204" s="0" t="str">
        <f aca="false">IF(OR(BS204&gt;=Settings!$B$5,Settings!$C$16&gt;0),"Next seat","Threshold")</f>
        <v>Next seat</v>
      </c>
    </row>
    <row r="205" customFormat="false" ht="15" hidden="false" customHeight="false" outlineLevel="0" collapsed="false">
      <c r="A205" s="0" t="s">
        <v>46</v>
      </c>
      <c r="B205" s="0" t="n">
        <f aca="false">IF(OR(BS205&gt;=Settings!$B$5,Settings!$C$17&gt;0),BS205,0)</f>
        <v>0.0963333333333333</v>
      </c>
      <c r="C205" s="0" t="n">
        <f aca="false">$B205/C$1</f>
        <v>0.0963333333333333</v>
      </c>
      <c r="D205" s="0" t="n">
        <f aca="false">$B205/D$1</f>
        <v>0.0321111111111111</v>
      </c>
      <c r="E205" s="0" t="n">
        <f aca="false">$B205/E$1</f>
        <v>0.0192666666666667</v>
      </c>
      <c r="F205" s="0" t="n">
        <f aca="false">$B205/F$1</f>
        <v>0.0137619047619048</v>
      </c>
      <c r="G205" s="0" t="n">
        <f aca="false">$B205/G$1</f>
        <v>0.0107037037037037</v>
      </c>
      <c r="H205" s="0" t="n">
        <f aca="false">$B205/H$1</f>
        <v>0.00875757575757576</v>
      </c>
      <c r="I205" s="0" t="n">
        <f aca="false">$B205/I$1</f>
        <v>0.00741025641025641</v>
      </c>
      <c r="J205" s="0" t="n">
        <f aca="false">$B205/J$1</f>
        <v>0.00642222222222222</v>
      </c>
      <c r="K205" s="0" t="n">
        <f aca="false">$B205/K$1</f>
        <v>0.00566666666666667</v>
      </c>
      <c r="L205" s="0" t="n">
        <f aca="false">$B205/L$1</f>
        <v>0.00507017543859649</v>
      </c>
      <c r="M205" s="0" t="n">
        <f aca="false">$B205/M$1</f>
        <v>0.00458730158730159</v>
      </c>
      <c r="N205" s="0" t="n">
        <f aca="false">$B205/N$1</f>
        <v>0.00418840579710145</v>
      </c>
      <c r="O205" s="0" t="n">
        <f aca="false">$B205/O$1</f>
        <v>0.00385333333333333</v>
      </c>
      <c r="P205" s="0" t="n">
        <f aca="false">$B205/P$1</f>
        <v>0.0035679012345679</v>
      </c>
      <c r="Q205" s="0" t="n">
        <f aca="false">$B205/Q$1</f>
        <v>0.00332183908045977</v>
      </c>
      <c r="R205" s="0" t="n">
        <f aca="false">$B205/R$1</f>
        <v>0.00310752688172043</v>
      </c>
      <c r="S205" s="0" t="n">
        <f aca="false">$B205/S$1</f>
        <v>0.00291919191919192</v>
      </c>
      <c r="T205" s="0" t="n">
        <f aca="false">$B205/T$1</f>
        <v>0.00275238095238095</v>
      </c>
      <c r="U205" s="0" t="n">
        <f aca="false">$B205/U$1</f>
        <v>0.0026036036036036</v>
      </c>
      <c r="V205" s="0" t="n">
        <f aca="false">$B205/V$1</f>
        <v>0.00247008547008547</v>
      </c>
      <c r="W205" s="0" t="n">
        <f aca="false">$B205/W$1</f>
        <v>0.00234959349593496</v>
      </c>
      <c r="X205" s="0" t="n">
        <f aca="false">$B205/X$1</f>
        <v>0.00224031007751938</v>
      </c>
      <c r="Y205" s="0" t="n">
        <f aca="false">$B205/Y$1</f>
        <v>0.00214074074074074</v>
      </c>
      <c r="Z205" s="0" t="n">
        <f aca="false">$B205/Z$1</f>
        <v>0.00204964539007092</v>
      </c>
      <c r="AA205" s="0" t="n">
        <f aca="false">$B205/AA$1</f>
        <v>0.00196598639455782</v>
      </c>
      <c r="AB205" s="0" t="n">
        <f aca="false">$B205/AB$1</f>
        <v>0.00188888888888889</v>
      </c>
      <c r="AC205" s="0" t="n">
        <f aca="false">$B205/AC$1</f>
        <v>0.00181761006289308</v>
      </c>
      <c r="AD205" s="0" t="n">
        <f aca="false">$B205/AD$1</f>
        <v>0.00175151515151515</v>
      </c>
      <c r="AE205" s="0" t="n">
        <f aca="false">$B205/AE$1</f>
        <v>0.00169005847953216</v>
      </c>
      <c r="AF205" s="0" t="n">
        <f aca="false">$B205/AF$1</f>
        <v>0.00163276836158192</v>
      </c>
      <c r="AG205" s="0" t="n">
        <f aca="false">$B205/AG$1</f>
        <v>0.0015792349726776</v>
      </c>
      <c r="AH205" s="0" t="n">
        <f aca="false">$B205/AH$1</f>
        <v>0.00152910052910053</v>
      </c>
      <c r="AI205" s="0" t="n">
        <f aca="false">$B205/AI$1</f>
        <v>0.00148205128205128</v>
      </c>
      <c r="AJ205" s="0" t="n">
        <f aca="false">$B205/AJ$1</f>
        <v>0.00143781094527363</v>
      </c>
      <c r="AK205" s="0" t="n">
        <f aca="false">$B205/AK$1</f>
        <v>0.00139613526570048</v>
      </c>
      <c r="AL205" s="0" t="n">
        <f aca="false">$B205/AL$1</f>
        <v>0.00135680751173709</v>
      </c>
      <c r="AM205" s="0" t="n">
        <f aca="false">$B205/AM$1</f>
        <v>0.00131963470319635</v>
      </c>
      <c r="AN205" s="0" t="n">
        <f aca="false">$B205/AN$1</f>
        <v>0.00128444444444444</v>
      </c>
      <c r="AO205" s="0" t="n">
        <f aca="false">$B205/AO$1</f>
        <v>0.00125108225108225</v>
      </c>
      <c r="AP205" s="0" t="n">
        <f aca="false">$B205/AP$1</f>
        <v>0.00121940928270042</v>
      </c>
      <c r="AQ205" s="0" t="n">
        <f aca="false">$B205/AQ$1</f>
        <v>0.00118930041152263</v>
      </c>
      <c r="AR205" s="0" t="n">
        <f aca="false">$B205/AR$1</f>
        <v>0.00116064257028112</v>
      </c>
      <c r="AS205" s="0" t="n">
        <f aca="false">$B205/AS$1</f>
        <v>0.00113333333333333</v>
      </c>
      <c r="AT205" s="0" t="n">
        <f aca="false">$B205/AT$1</f>
        <v>0.00110727969348659</v>
      </c>
      <c r="AU205" s="0" t="n">
        <f aca="false">$B205/AU$1</f>
        <v>0.00108239700374532</v>
      </c>
      <c r="AV205" s="0" t="n">
        <f aca="false">$B205/AV$1</f>
        <v>0.00105860805860806</v>
      </c>
      <c r="AW205" s="0" t="n">
        <f aca="false">$B205/AW$1</f>
        <v>0.00103584229390681</v>
      </c>
      <c r="AX205" s="0" t="n">
        <f aca="false">$B205/AX$1</f>
        <v>0.0010140350877193</v>
      </c>
      <c r="AY205" s="0" t="n">
        <f aca="false">$B205/AY$1</f>
        <v>0.000993127147766323</v>
      </c>
      <c r="AZ205" s="0" t="n">
        <f aca="false">$B205/AZ$1</f>
        <v>0.000973063973063973</v>
      </c>
      <c r="BA205" s="0" t="n">
        <f aca="false">$B205/BA$1</f>
        <v>0.000953795379537954</v>
      </c>
      <c r="BB205" s="0" t="n">
        <f aca="false">$B205/BB$1</f>
        <v>0.000935275080906149</v>
      </c>
      <c r="BC205" s="0" t="n">
        <f aca="false">$B205/BC$1</f>
        <v>0.000917460317460317</v>
      </c>
      <c r="BD205" s="0" t="n">
        <f aca="false">$B205/BD$1</f>
        <v>0.000900311526479751</v>
      </c>
      <c r="BE205" s="0" t="n">
        <f aca="false">$B205/BE$1</f>
        <v>0.000883792048929664</v>
      </c>
      <c r="BF205" s="0" t="n">
        <f aca="false">$B205/BF$1</f>
        <v>0.000867867867867868</v>
      </c>
      <c r="BG205" s="0" t="n">
        <f aca="false">$B205/BG$1</f>
        <v>0.000852507374631268</v>
      </c>
      <c r="BH205" s="0" t="n">
        <f aca="false">$B205/BH$1</f>
        <v>0.00083768115942029</v>
      </c>
      <c r="BI205" s="0" t="n">
        <f aca="false">$B205/BI$1</f>
        <v>0.000823361823361823</v>
      </c>
      <c r="BJ205" s="0" t="n">
        <f aca="false">$B205/BJ$1</f>
        <v>0.00080952380952381</v>
      </c>
      <c r="BL205" s="0" t="n">
        <f aca="false">IF($B$201=1,COUNTIF(C205:BJ205,"&gt;="&amp;$C$201),0)</f>
        <v>12</v>
      </c>
      <c r="BM205" s="0" t="n">
        <f aca="false">IF($B$201=1,IF(OR(BS205&gt;=Settings!$B$5,Settings!$C$17&gt;0),MAX(BL205,Settings!$C$17),0),0)</f>
        <v>12</v>
      </c>
      <c r="BN205" s="0" t="n">
        <f aca="false">IF($B$201=1,IF(OR(BS205&gt;=Settings!$B$5,Settings!$C$17&gt;0),MAX(0,(2*MAX(BL205,Settings!$C$17)+1)*$C$201-BS205),MAX(0,Settings!$B$5-BS205)),"")</f>
        <v>0.00700000000000001</v>
      </c>
      <c r="BO205" s="0" t="n">
        <f aca="false">IF($B$201=1,IF(OR(BS205&gt;=Settings!$B$5,Settings!$C$17&gt;0),IF(BL205&lt;=Settings!$C$17,"Protected by electorates",IF(Settings!$C$17=0,MIN(BS205-(2*BL205-1)*$D$201,BS205-Settings!$B$5),BS205-(2*BL205-1)*$D$201)),""),"")</f>
        <v>0.00137037037037036</v>
      </c>
      <c r="BP205" s="0" t="n">
        <f aca="false">IF($B$201=1,IF(OR(BS205&gt;=Settings!$B$5,Settings!$C$17&gt;0),MAX(0,MIN(1,(BS205/$C$201-(2*MAX(BL205,Settings!$C$17)-1))/2)),MIN(1,BS205/Settings!$B$5)),"")</f>
        <v>0.153225806451612</v>
      </c>
      <c r="BQ205" s="0" t="n">
        <f aca="false">IF(AND($B$201=1,COUNTIF(C205:BJ205,$C$201)&gt;0),1,0)</f>
        <v>0</v>
      </c>
      <c r="BR205" s="0" t="n">
        <f aca="false">IF(AND($B$201=1,COUNTIF(C205:BJ205,$D$201)&gt;0),1,0)</f>
        <v>0</v>
      </c>
      <c r="BS205" s="0" t="n">
        <f aca="false">N(IF(Polls!K28="",Polls!K37,Polls!K28))</f>
        <v>0.0963333333333333</v>
      </c>
      <c r="BT205" s="0" t="str">
        <f aca="false">IF(OR(BS205&gt;=Settings!$B$5,Settings!$C$17&gt;0),"Next seat","Threshold")</f>
        <v>Next seat</v>
      </c>
    </row>
    <row r="206" customFormat="false" ht="15" hidden="false" customHeight="false" outlineLevel="0" collapsed="false">
      <c r="A206" s="0" t="s">
        <v>48</v>
      </c>
      <c r="B206" s="0" t="n">
        <f aca="false">IF(OR(BS206&gt;=Settings!$B$5,Settings!$C$18&gt;0),BS206,0)</f>
        <v>0.103333333333333</v>
      </c>
      <c r="C206" s="0" t="n">
        <f aca="false">$B206/C$1</f>
        <v>0.103333333333333</v>
      </c>
      <c r="D206" s="0" t="n">
        <f aca="false">$B206/D$1</f>
        <v>0.0344444444444444</v>
      </c>
      <c r="E206" s="0" t="n">
        <f aca="false">$B206/E$1</f>
        <v>0.0206666666666667</v>
      </c>
      <c r="F206" s="0" t="n">
        <f aca="false">$B206/F$1</f>
        <v>0.0147619047619048</v>
      </c>
      <c r="G206" s="0" t="n">
        <f aca="false">$B206/G$1</f>
        <v>0.0114814814814815</v>
      </c>
      <c r="H206" s="0" t="n">
        <f aca="false">$B206/H$1</f>
        <v>0.00939393939393939</v>
      </c>
      <c r="I206" s="0" t="n">
        <f aca="false">$B206/I$1</f>
        <v>0.00794871794871795</v>
      </c>
      <c r="J206" s="0" t="n">
        <f aca="false">$B206/J$1</f>
        <v>0.00688888888888889</v>
      </c>
      <c r="K206" s="0" t="n">
        <f aca="false">$B206/K$1</f>
        <v>0.00607843137254902</v>
      </c>
      <c r="L206" s="0" t="n">
        <f aca="false">$B206/L$1</f>
        <v>0.00543859649122807</v>
      </c>
      <c r="M206" s="0" t="n">
        <f aca="false">$B206/M$1</f>
        <v>0.00492063492063492</v>
      </c>
      <c r="N206" s="0" t="n">
        <f aca="false">$B206/N$1</f>
        <v>0.00449275362318841</v>
      </c>
      <c r="O206" s="0" t="n">
        <f aca="false">$B206/O$1</f>
        <v>0.00413333333333333</v>
      </c>
      <c r="P206" s="0" t="n">
        <f aca="false">$B206/P$1</f>
        <v>0.00382716049382716</v>
      </c>
      <c r="Q206" s="0" t="n">
        <f aca="false">$B206/Q$1</f>
        <v>0.0035632183908046</v>
      </c>
      <c r="R206" s="0" t="n">
        <f aca="false">$B206/R$1</f>
        <v>0.00333333333333333</v>
      </c>
      <c r="S206" s="0" t="n">
        <f aca="false">$B206/S$1</f>
        <v>0.00313131313131313</v>
      </c>
      <c r="T206" s="0" t="n">
        <f aca="false">$B206/T$1</f>
        <v>0.00295238095238095</v>
      </c>
      <c r="U206" s="0" t="n">
        <f aca="false">$B206/U$1</f>
        <v>0.00279279279279279</v>
      </c>
      <c r="V206" s="0" t="n">
        <f aca="false">$B206/V$1</f>
        <v>0.00264957264957265</v>
      </c>
      <c r="W206" s="0" t="n">
        <f aca="false">$B206/W$1</f>
        <v>0.00252032520325203</v>
      </c>
      <c r="X206" s="0" t="n">
        <f aca="false">$B206/X$1</f>
        <v>0.0024031007751938</v>
      </c>
      <c r="Y206" s="0" t="n">
        <f aca="false">$B206/Y$1</f>
        <v>0.0022962962962963</v>
      </c>
      <c r="Z206" s="0" t="n">
        <f aca="false">$B206/Z$1</f>
        <v>0.00219858156028369</v>
      </c>
      <c r="AA206" s="0" t="n">
        <f aca="false">$B206/AA$1</f>
        <v>0.00210884353741497</v>
      </c>
      <c r="AB206" s="0" t="n">
        <f aca="false">$B206/AB$1</f>
        <v>0.00202614379084967</v>
      </c>
      <c r="AC206" s="0" t="n">
        <f aca="false">$B206/AC$1</f>
        <v>0.0019496855345912</v>
      </c>
      <c r="AD206" s="0" t="n">
        <f aca="false">$B206/AD$1</f>
        <v>0.00187878787878788</v>
      </c>
      <c r="AE206" s="0" t="n">
        <f aca="false">$B206/AE$1</f>
        <v>0.00181286549707602</v>
      </c>
      <c r="AF206" s="0" t="n">
        <f aca="false">$B206/AF$1</f>
        <v>0.00175141242937853</v>
      </c>
      <c r="AG206" s="0" t="n">
        <f aca="false">$B206/AG$1</f>
        <v>0.00169398907103825</v>
      </c>
      <c r="AH206" s="0" t="n">
        <f aca="false">$B206/AH$1</f>
        <v>0.00164021164021164</v>
      </c>
      <c r="AI206" s="0" t="n">
        <f aca="false">$B206/AI$1</f>
        <v>0.00158974358974359</v>
      </c>
      <c r="AJ206" s="0" t="n">
        <f aca="false">$B206/AJ$1</f>
        <v>0.00154228855721393</v>
      </c>
      <c r="AK206" s="0" t="n">
        <f aca="false">$B206/AK$1</f>
        <v>0.0014975845410628</v>
      </c>
      <c r="AL206" s="0" t="n">
        <f aca="false">$B206/AL$1</f>
        <v>0.00145539906103286</v>
      </c>
      <c r="AM206" s="0" t="n">
        <f aca="false">$B206/AM$1</f>
        <v>0.00141552511415525</v>
      </c>
      <c r="AN206" s="0" t="n">
        <f aca="false">$B206/AN$1</f>
        <v>0.00137777777777778</v>
      </c>
      <c r="AO206" s="0" t="n">
        <f aca="false">$B206/AO$1</f>
        <v>0.00134199134199134</v>
      </c>
      <c r="AP206" s="0" t="n">
        <f aca="false">$B206/AP$1</f>
        <v>0.00130801687763713</v>
      </c>
      <c r="AQ206" s="0" t="n">
        <f aca="false">$B206/AQ$1</f>
        <v>0.00127572016460905</v>
      </c>
      <c r="AR206" s="0" t="n">
        <f aca="false">$B206/AR$1</f>
        <v>0.00124497991967872</v>
      </c>
      <c r="AS206" s="0" t="n">
        <f aca="false">$B206/AS$1</f>
        <v>0.0012156862745098</v>
      </c>
      <c r="AT206" s="0" t="n">
        <f aca="false">$B206/AT$1</f>
        <v>0.00118773946360153</v>
      </c>
      <c r="AU206" s="0" t="n">
        <f aca="false">$B206/AU$1</f>
        <v>0.00116104868913858</v>
      </c>
      <c r="AV206" s="0" t="n">
        <f aca="false">$B206/AV$1</f>
        <v>0.00113553113553114</v>
      </c>
      <c r="AW206" s="0" t="n">
        <f aca="false">$B206/AW$1</f>
        <v>0.00111111111111111</v>
      </c>
      <c r="AX206" s="0" t="n">
        <f aca="false">$B206/AX$1</f>
        <v>0.00108771929824561</v>
      </c>
      <c r="AY206" s="0" t="n">
        <f aca="false">$B206/AY$1</f>
        <v>0.00106529209621993</v>
      </c>
      <c r="AZ206" s="0" t="n">
        <f aca="false">$B206/AZ$1</f>
        <v>0.00104377104377104</v>
      </c>
      <c r="BA206" s="0" t="n">
        <f aca="false">$B206/BA$1</f>
        <v>0.00102310231023102</v>
      </c>
      <c r="BB206" s="0" t="n">
        <f aca="false">$B206/BB$1</f>
        <v>0.00100323624595469</v>
      </c>
      <c r="BC206" s="0" t="n">
        <f aca="false">$B206/BC$1</f>
        <v>0.000984126984126984</v>
      </c>
      <c r="BD206" s="0" t="n">
        <f aca="false">$B206/BD$1</f>
        <v>0.000965732087227414</v>
      </c>
      <c r="BE206" s="0" t="n">
        <f aca="false">$B206/BE$1</f>
        <v>0.000948012232415902</v>
      </c>
      <c r="BF206" s="0" t="n">
        <f aca="false">$B206/BF$1</f>
        <v>0.000930930930930931</v>
      </c>
      <c r="BG206" s="0" t="n">
        <f aca="false">$B206/BG$1</f>
        <v>0.000914454277286136</v>
      </c>
      <c r="BH206" s="0" t="n">
        <f aca="false">$B206/BH$1</f>
        <v>0.000898550724637681</v>
      </c>
      <c r="BI206" s="0" t="n">
        <f aca="false">$B206/BI$1</f>
        <v>0.000883190883190883</v>
      </c>
      <c r="BJ206" s="0" t="n">
        <f aca="false">$B206/BJ$1</f>
        <v>0.000868347338935574</v>
      </c>
      <c r="BL206" s="0" t="n">
        <f aca="false">IF($B$201=1,COUNTIF(C206:BJ206,"&gt;="&amp;$C$201),0)</f>
        <v>13</v>
      </c>
      <c r="BM206" s="0" t="n">
        <f aca="false">IF($B$201=1,IF(OR(BS206&gt;=Settings!$B$5,Settings!$C$18&gt;0),MAX(BL206,Settings!$C$18),0),0)</f>
        <v>13</v>
      </c>
      <c r="BN206" s="0" t="n">
        <f aca="false">IF($B$201=1,IF(OR(BS206&gt;=Settings!$B$5,Settings!$C$18&gt;0),MAX(0,(2*MAX(BL206,Settings!$C$18)+1)*$C$201-BS206),MAX(0,Settings!$B$5-BS206)),"")</f>
        <v>0.00826666666666667</v>
      </c>
      <c r="BO206" s="0" t="n">
        <f aca="false">IF($B$201=1,IF(OR(BS206&gt;=Settings!$B$5,Settings!$C$18&gt;0),IF(BL206&lt;=Settings!$C$18,"Protected by electorates",IF(Settings!$C$18=0,MIN(BS206-(2*BL206-1)*$D$201,BS206-Settings!$B$5),BS206-(2*BL206-1)*$D$201)),""),"")</f>
        <v>0.000112721417069223</v>
      </c>
      <c r="BP206" s="0" t="n">
        <f aca="false">IF($B$201=1,IF(OR(BS206&gt;=Settings!$B$5,Settings!$C$18&gt;0),MAX(0,MIN(1,(BS206/$C$201-(2*MAX(BL206,Settings!$C$18)-1))/2)),MIN(1,BS206/Settings!$B$5)),"")</f>
        <v>0</v>
      </c>
      <c r="BQ206" s="0" t="n">
        <f aca="false">IF(AND($B$201=1,COUNTIF(C206:BJ206,$C$201)&gt;0),1,0)</f>
        <v>1</v>
      </c>
      <c r="BR206" s="0" t="n">
        <f aca="false">IF(AND($B$201=1,COUNTIF(C206:BJ206,$D$201)&gt;0),1,0)</f>
        <v>0</v>
      </c>
      <c r="BS206" s="0" t="n">
        <f aca="false">N(IF(Polls!L28="",Polls!L37,Polls!L28))</f>
        <v>0.103333333333333</v>
      </c>
      <c r="BT206" s="0" t="str">
        <f aca="false">IF(OR(BS206&gt;=Settings!$B$5,Settings!$C$18&gt;0),"Next seat","Threshold")</f>
        <v>Next seat</v>
      </c>
    </row>
    <row r="207" customFormat="false" ht="15" hidden="false" customHeight="false" outlineLevel="0" collapsed="false">
      <c r="A207" s="0" t="s">
        <v>50</v>
      </c>
      <c r="B207" s="0" t="n">
        <f aca="false">IF(OR(BS207&gt;=Settings!$B$5,Settings!$C$19&gt;0),BS207,0)</f>
        <v>0.0145</v>
      </c>
      <c r="C207" s="0" t="n">
        <f aca="false">$B207/C$1</f>
        <v>0.0145</v>
      </c>
      <c r="D207" s="0" t="n">
        <f aca="false">$B207/D$1</f>
        <v>0.00483333333333333</v>
      </c>
      <c r="E207" s="0" t="n">
        <f aca="false">$B207/E$1</f>
        <v>0.0029</v>
      </c>
      <c r="F207" s="0" t="n">
        <f aca="false">$B207/F$1</f>
        <v>0.00207142857142857</v>
      </c>
      <c r="G207" s="0" t="n">
        <f aca="false">$B207/G$1</f>
        <v>0.00161111111111111</v>
      </c>
      <c r="H207" s="0" t="n">
        <f aca="false">$B207/H$1</f>
        <v>0.00131818181818182</v>
      </c>
      <c r="I207" s="0" t="n">
        <f aca="false">$B207/I$1</f>
        <v>0.00111538461538462</v>
      </c>
      <c r="J207" s="0" t="n">
        <f aca="false">$B207/J$1</f>
        <v>0.000966666666666667</v>
      </c>
      <c r="K207" s="0" t="n">
        <f aca="false">$B207/K$1</f>
        <v>0.000852941176470588</v>
      </c>
      <c r="L207" s="0" t="n">
        <f aca="false">$B207/L$1</f>
        <v>0.000763157894736842</v>
      </c>
      <c r="M207" s="0" t="n">
        <f aca="false">$B207/M$1</f>
        <v>0.000690476190476191</v>
      </c>
      <c r="N207" s="0" t="n">
        <f aca="false">$B207/N$1</f>
        <v>0.000630434782608696</v>
      </c>
      <c r="O207" s="0" t="n">
        <f aca="false">$B207/O$1</f>
        <v>0.00058</v>
      </c>
      <c r="P207" s="0" t="n">
        <f aca="false">$B207/P$1</f>
        <v>0.000537037037037037</v>
      </c>
      <c r="Q207" s="0" t="n">
        <f aca="false">$B207/Q$1</f>
        <v>0.0005</v>
      </c>
      <c r="R207" s="0" t="n">
        <f aca="false">$B207/R$1</f>
        <v>0.000467741935483871</v>
      </c>
      <c r="S207" s="0" t="n">
        <f aca="false">$B207/S$1</f>
        <v>0.000439393939393939</v>
      </c>
      <c r="T207" s="0" t="n">
        <f aca="false">$B207/T$1</f>
        <v>0.000414285714285714</v>
      </c>
      <c r="U207" s="0" t="n">
        <f aca="false">$B207/U$1</f>
        <v>0.000391891891891892</v>
      </c>
      <c r="V207" s="0" t="n">
        <f aca="false">$B207/V$1</f>
        <v>0.000371794871794872</v>
      </c>
      <c r="W207" s="0" t="n">
        <f aca="false">$B207/W$1</f>
        <v>0.000353658536585366</v>
      </c>
      <c r="X207" s="0" t="n">
        <f aca="false">$B207/X$1</f>
        <v>0.000337209302325581</v>
      </c>
      <c r="Y207" s="0" t="n">
        <f aca="false">$B207/Y$1</f>
        <v>0.000322222222222222</v>
      </c>
      <c r="Z207" s="0" t="n">
        <f aca="false">$B207/Z$1</f>
        <v>0.000308510638297872</v>
      </c>
      <c r="AA207" s="0" t="n">
        <f aca="false">$B207/AA$1</f>
        <v>0.000295918367346939</v>
      </c>
      <c r="AB207" s="0" t="n">
        <f aca="false">$B207/AB$1</f>
        <v>0.000284313725490196</v>
      </c>
      <c r="AC207" s="0" t="n">
        <f aca="false">$B207/AC$1</f>
        <v>0.000273584905660377</v>
      </c>
      <c r="AD207" s="0" t="n">
        <f aca="false">$B207/AD$1</f>
        <v>0.000263636363636364</v>
      </c>
      <c r="AE207" s="0" t="n">
        <f aca="false">$B207/AE$1</f>
        <v>0.000254385964912281</v>
      </c>
      <c r="AF207" s="0" t="n">
        <f aca="false">$B207/AF$1</f>
        <v>0.000245762711864407</v>
      </c>
      <c r="AG207" s="0" t="n">
        <f aca="false">$B207/AG$1</f>
        <v>0.000237704918032787</v>
      </c>
      <c r="AH207" s="0" t="n">
        <f aca="false">$B207/AH$1</f>
        <v>0.00023015873015873</v>
      </c>
      <c r="AI207" s="0" t="n">
        <f aca="false">$B207/AI$1</f>
        <v>0.000223076923076923</v>
      </c>
      <c r="AJ207" s="0" t="n">
        <f aca="false">$B207/AJ$1</f>
        <v>0.000216417910447761</v>
      </c>
      <c r="AK207" s="0" t="n">
        <f aca="false">$B207/AK$1</f>
        <v>0.000210144927536232</v>
      </c>
      <c r="AL207" s="0" t="n">
        <f aca="false">$B207/AL$1</f>
        <v>0.000204225352112676</v>
      </c>
      <c r="AM207" s="0" t="n">
        <f aca="false">$B207/AM$1</f>
        <v>0.000198630136986301</v>
      </c>
      <c r="AN207" s="0" t="n">
        <f aca="false">$B207/AN$1</f>
        <v>0.000193333333333333</v>
      </c>
      <c r="AO207" s="0" t="n">
        <f aca="false">$B207/AO$1</f>
        <v>0.000188311688311688</v>
      </c>
      <c r="AP207" s="0" t="n">
        <f aca="false">$B207/AP$1</f>
        <v>0.000183544303797468</v>
      </c>
      <c r="AQ207" s="0" t="n">
        <f aca="false">$B207/AQ$1</f>
        <v>0.000179012345679012</v>
      </c>
      <c r="AR207" s="0" t="n">
        <f aca="false">$B207/AR$1</f>
        <v>0.000174698795180723</v>
      </c>
      <c r="AS207" s="0" t="n">
        <f aca="false">$B207/AS$1</f>
        <v>0.000170588235294118</v>
      </c>
      <c r="AT207" s="0" t="n">
        <f aca="false">$B207/AT$1</f>
        <v>0.000166666666666667</v>
      </c>
      <c r="AU207" s="0" t="n">
        <f aca="false">$B207/AU$1</f>
        <v>0.000162921348314607</v>
      </c>
      <c r="AV207" s="0" t="n">
        <f aca="false">$B207/AV$1</f>
        <v>0.000159340659340659</v>
      </c>
      <c r="AW207" s="0" t="n">
        <f aca="false">$B207/AW$1</f>
        <v>0.000155913978494624</v>
      </c>
      <c r="AX207" s="0" t="n">
        <f aca="false">$B207/AX$1</f>
        <v>0.000152631578947368</v>
      </c>
      <c r="AY207" s="0" t="n">
        <f aca="false">$B207/AY$1</f>
        <v>0.000149484536082474</v>
      </c>
      <c r="AZ207" s="0" t="n">
        <f aca="false">$B207/AZ$1</f>
        <v>0.000146464646464646</v>
      </c>
      <c r="BA207" s="0" t="n">
        <f aca="false">$B207/BA$1</f>
        <v>0.000143564356435644</v>
      </c>
      <c r="BB207" s="0" t="n">
        <f aca="false">$B207/BB$1</f>
        <v>0.000140776699029126</v>
      </c>
      <c r="BC207" s="0" t="n">
        <f aca="false">$B207/BC$1</f>
        <v>0.000138095238095238</v>
      </c>
      <c r="BD207" s="0" t="n">
        <f aca="false">$B207/BD$1</f>
        <v>0.000135514018691589</v>
      </c>
      <c r="BE207" s="0" t="n">
        <f aca="false">$B207/BE$1</f>
        <v>0.00013302752293578</v>
      </c>
      <c r="BF207" s="0" t="n">
        <f aca="false">$B207/BF$1</f>
        <v>0.000130630630630631</v>
      </c>
      <c r="BG207" s="0" t="n">
        <f aca="false">$B207/BG$1</f>
        <v>0.000128318584070796</v>
      </c>
      <c r="BH207" s="0" t="n">
        <f aca="false">$B207/BH$1</f>
        <v>0.000126086956521739</v>
      </c>
      <c r="BI207" s="0" t="n">
        <f aca="false">$B207/BI$1</f>
        <v>0.000123931623931624</v>
      </c>
      <c r="BJ207" s="0" t="n">
        <f aca="false">$B207/BJ$1</f>
        <v>0.000121848739495798</v>
      </c>
      <c r="BL207" s="0" t="n">
        <f aca="false">IF($B$201=1,COUNTIF(C207:BJ207,"&gt;="&amp;$C$201),0)</f>
        <v>2</v>
      </c>
      <c r="BM207" s="0" t="n">
        <f aca="false">IF($B$201=1,IF(OR(BS207&gt;=Settings!$B$5,Settings!$C$19&gt;0),MAX(BL207,Settings!$C$19),0),0)</f>
        <v>4</v>
      </c>
      <c r="BN207" s="0" t="n">
        <f aca="false">IF($B$201=1,IF(OR(BS207&gt;=Settings!$B$5,Settings!$C$19&gt;0),MAX(0,(2*MAX(BL207,Settings!$C$19)+1)*$C$201-BS207),MAX(0,Settings!$B$5-BS207)),"")</f>
        <v>0.0227</v>
      </c>
      <c r="BO207" s="0" t="str">
        <f aca="false">IF($B$201=1,IF(OR(BS207&gt;=Settings!$B$5,Settings!$C$19&gt;0),IF(BL207&lt;=Settings!$C$19,"Protected by electorates",IF(Settings!$C$19=0,MIN(BS207-(2*BL207-1)*$D$201,BS207-Settings!$B$5),BS207-(2*BL207-1)*$D$201)),""),"")</f>
        <v>Protected by electorates</v>
      </c>
      <c r="BP207" s="0" t="n">
        <f aca="false">IF($B$201=1,IF(OR(BS207&gt;=Settings!$B$5,Settings!$C$19&gt;0),MAX(0,MIN(1,(BS207/$C$201-(2*MAX(BL207,Settings!$C$19)-1))/2)),MIN(1,BS207/Settings!$B$5)),"")</f>
        <v>0</v>
      </c>
      <c r="BQ207" s="0" t="n">
        <f aca="false">IF(AND($B$201=1,COUNTIF(C207:BJ207,$C$201)&gt;0),1,0)</f>
        <v>0</v>
      </c>
      <c r="BR207" s="0" t="n">
        <f aca="false">IF(AND($B$201=1,COUNTIF(C207:BJ207,$D$201)&gt;0),1,0)</f>
        <v>0</v>
      </c>
      <c r="BS207" s="0" t="n">
        <f aca="false">N(IF(Polls!M28="",Polls!M37,Polls!M28))</f>
        <v>0.0145</v>
      </c>
      <c r="BT207" s="0" t="str">
        <f aca="false">IF(OR(BS207&gt;=Settings!$B$5,Settings!$C$19&gt;0),"Next seat","Threshold")</f>
        <v>Next seat</v>
      </c>
    </row>
    <row r="208" customFormat="false" ht="15" hidden="false" customHeight="false" outlineLevel="0" collapsed="false">
      <c r="A208" s="0" t="s">
        <v>52</v>
      </c>
      <c r="B208" s="0" t="n">
        <f aca="false">IF(OR(BS208&gt;=Settings!$B$5,Settings!$C$20&gt;0),BS208,0)</f>
        <v>0.0614444444444445</v>
      </c>
      <c r="C208" s="0" t="n">
        <f aca="false">$B208/C$1</f>
        <v>0.0614444444444445</v>
      </c>
      <c r="D208" s="0" t="n">
        <f aca="false">$B208/D$1</f>
        <v>0.0204814814814815</v>
      </c>
      <c r="E208" s="0" t="n">
        <f aca="false">$B208/E$1</f>
        <v>0.0122888888888889</v>
      </c>
      <c r="F208" s="0" t="n">
        <f aca="false">$B208/F$1</f>
        <v>0.00877777777777778</v>
      </c>
      <c r="G208" s="0" t="n">
        <f aca="false">$B208/G$1</f>
        <v>0.00682716049382716</v>
      </c>
      <c r="H208" s="0" t="n">
        <f aca="false">$B208/H$1</f>
        <v>0.00558585858585859</v>
      </c>
      <c r="I208" s="0" t="n">
        <f aca="false">$B208/I$1</f>
        <v>0.00472649572649573</v>
      </c>
      <c r="J208" s="0" t="n">
        <f aca="false">$B208/J$1</f>
        <v>0.0040962962962963</v>
      </c>
      <c r="K208" s="0" t="n">
        <f aca="false">$B208/K$1</f>
        <v>0.00361437908496732</v>
      </c>
      <c r="L208" s="0" t="n">
        <f aca="false">$B208/L$1</f>
        <v>0.00323391812865497</v>
      </c>
      <c r="M208" s="0" t="n">
        <f aca="false">$B208/M$1</f>
        <v>0.00292592592592593</v>
      </c>
      <c r="N208" s="0" t="n">
        <f aca="false">$B208/N$1</f>
        <v>0.00267149758454106</v>
      </c>
      <c r="O208" s="0" t="n">
        <f aca="false">$B208/O$1</f>
        <v>0.00245777777777778</v>
      </c>
      <c r="P208" s="0" t="n">
        <f aca="false">$B208/P$1</f>
        <v>0.00227572016460905</v>
      </c>
      <c r="Q208" s="0" t="n">
        <f aca="false">$B208/Q$1</f>
        <v>0.00211877394636015</v>
      </c>
      <c r="R208" s="0" t="n">
        <f aca="false">$B208/R$1</f>
        <v>0.0019820788530466</v>
      </c>
      <c r="S208" s="0" t="n">
        <f aca="false">$B208/S$1</f>
        <v>0.00186195286195286</v>
      </c>
      <c r="T208" s="0" t="n">
        <f aca="false">$B208/T$1</f>
        <v>0.00175555555555556</v>
      </c>
      <c r="U208" s="0" t="n">
        <f aca="false">$B208/U$1</f>
        <v>0.00166066066066066</v>
      </c>
      <c r="V208" s="0" t="n">
        <f aca="false">$B208/V$1</f>
        <v>0.00157549857549858</v>
      </c>
      <c r="W208" s="0" t="n">
        <f aca="false">$B208/W$1</f>
        <v>0.00149864498644986</v>
      </c>
      <c r="X208" s="0" t="n">
        <f aca="false">$B208/X$1</f>
        <v>0.00142894056847545</v>
      </c>
      <c r="Y208" s="0" t="n">
        <f aca="false">$B208/Y$1</f>
        <v>0.00136543209876543</v>
      </c>
      <c r="Z208" s="0" t="n">
        <f aca="false">$B208/Z$1</f>
        <v>0.00130732860520095</v>
      </c>
      <c r="AA208" s="0" t="n">
        <f aca="false">$B208/AA$1</f>
        <v>0.00125396825396825</v>
      </c>
      <c r="AB208" s="0" t="n">
        <f aca="false">$B208/AB$1</f>
        <v>0.00120479302832244</v>
      </c>
      <c r="AC208" s="0" t="n">
        <f aca="false">$B208/AC$1</f>
        <v>0.00115932914046122</v>
      </c>
      <c r="AD208" s="0" t="n">
        <f aca="false">$B208/AD$1</f>
        <v>0.00111717171717172</v>
      </c>
      <c r="AE208" s="0" t="n">
        <f aca="false">$B208/AE$1</f>
        <v>0.00107797270955166</v>
      </c>
      <c r="AF208" s="0" t="n">
        <f aca="false">$B208/AF$1</f>
        <v>0.00104143126177024</v>
      </c>
      <c r="AG208" s="0" t="n">
        <f aca="false">$B208/AG$1</f>
        <v>0.00100728597449909</v>
      </c>
      <c r="AH208" s="0" t="n">
        <f aca="false">$B208/AH$1</f>
        <v>0.000975308641975309</v>
      </c>
      <c r="AI208" s="0" t="n">
        <f aca="false">$B208/AI$1</f>
        <v>0.000945299145299145</v>
      </c>
      <c r="AJ208" s="0" t="n">
        <f aca="false">$B208/AJ$1</f>
        <v>0.000917081260364843</v>
      </c>
      <c r="AK208" s="0" t="n">
        <f aca="false">$B208/AK$1</f>
        <v>0.000890499194847021</v>
      </c>
      <c r="AL208" s="0" t="n">
        <f aca="false">$B208/AL$1</f>
        <v>0.000865414710485133</v>
      </c>
      <c r="AM208" s="0" t="n">
        <f aca="false">$B208/AM$1</f>
        <v>0.000841704718417047</v>
      </c>
      <c r="AN208" s="0" t="n">
        <f aca="false">$B208/AN$1</f>
        <v>0.000819259259259259</v>
      </c>
      <c r="AO208" s="0" t="n">
        <f aca="false">$B208/AO$1</f>
        <v>0.000797979797979798</v>
      </c>
      <c r="AP208" s="0" t="n">
        <f aca="false">$B208/AP$1</f>
        <v>0.000777777777777778</v>
      </c>
      <c r="AQ208" s="0" t="n">
        <f aca="false">$B208/AQ$1</f>
        <v>0.000758573388203018</v>
      </c>
      <c r="AR208" s="0" t="n">
        <f aca="false">$B208/AR$1</f>
        <v>0.000740294511378849</v>
      </c>
      <c r="AS208" s="0" t="n">
        <f aca="false">$B208/AS$1</f>
        <v>0.000722875816993464</v>
      </c>
      <c r="AT208" s="0" t="n">
        <f aca="false">$B208/AT$1</f>
        <v>0.000706257982120051</v>
      </c>
      <c r="AU208" s="0" t="n">
        <f aca="false">$B208/AU$1</f>
        <v>0.000690387016229713</v>
      </c>
      <c r="AV208" s="0" t="n">
        <f aca="false">$B208/AV$1</f>
        <v>0.000675213675213675</v>
      </c>
      <c r="AW208" s="0" t="n">
        <f aca="false">$B208/AW$1</f>
        <v>0.000660692951015532</v>
      </c>
      <c r="AX208" s="0" t="n">
        <f aca="false">$B208/AX$1</f>
        <v>0.000646783625730994</v>
      </c>
      <c r="AY208" s="0" t="n">
        <f aca="false">$B208/AY$1</f>
        <v>0.000633447880870561</v>
      </c>
      <c r="AZ208" s="0" t="n">
        <f aca="false">$B208/AZ$1</f>
        <v>0.000620650953984287</v>
      </c>
      <c r="BA208" s="0" t="n">
        <f aca="false">$B208/BA$1</f>
        <v>0.000608360836083608</v>
      </c>
      <c r="BB208" s="0" t="n">
        <f aca="false">$B208/BB$1</f>
        <v>0.000596548004314995</v>
      </c>
      <c r="BC208" s="0" t="n">
        <f aca="false">$B208/BC$1</f>
        <v>0.000585185185185185</v>
      </c>
      <c r="BD208" s="0" t="n">
        <f aca="false">$B208/BD$1</f>
        <v>0.000574247144340602</v>
      </c>
      <c r="BE208" s="0" t="n">
        <f aca="false">$B208/BE$1</f>
        <v>0.000563710499490316</v>
      </c>
      <c r="BF208" s="0" t="n">
        <f aca="false">$B208/BF$1</f>
        <v>0.000553553553553554</v>
      </c>
      <c r="BG208" s="0" t="n">
        <f aca="false">$B208/BG$1</f>
        <v>0.000543756145526057</v>
      </c>
      <c r="BH208" s="0" t="n">
        <f aca="false">$B208/BH$1</f>
        <v>0.000534299516908213</v>
      </c>
      <c r="BI208" s="0" t="n">
        <f aca="false">$B208/BI$1</f>
        <v>0.000525166191832859</v>
      </c>
      <c r="BJ208" s="0" t="n">
        <f aca="false">$B208/BJ$1</f>
        <v>0.000516339869281046</v>
      </c>
      <c r="BL208" s="0" t="n">
        <f aca="false">IF($B$201=1,COUNTIF(C208:BJ208,"&gt;="&amp;$C$201),0)</f>
        <v>7</v>
      </c>
      <c r="BM208" s="0" t="n">
        <f aca="false">IF($B$201=1,IF(OR(BS208&gt;=Settings!$B$5,Settings!$C$20&gt;0),MAX(BL208,Settings!$C$20),0),0)</f>
        <v>7</v>
      </c>
      <c r="BN208" s="0" t="n">
        <f aca="false">IF($B$201=1,IF(OR(BS208&gt;=Settings!$B$5,Settings!$C$20&gt;0),MAX(0,(2*MAX(BL208,Settings!$C$20)+1)*$C$201-BS208),MAX(0,Settings!$B$5-BS208)),"")</f>
        <v>0.000555555555555552</v>
      </c>
      <c r="BO208" s="0" t="n">
        <f aca="false">IF($B$201=1,IF(OR(BS208&gt;=Settings!$B$5,Settings!$C$20&gt;0),IF(BL208&lt;=Settings!$C$20,"Protected by electorates",IF(Settings!$C$20=0,MIN(BS208-(2*BL208-1)*$D$201,BS208-Settings!$B$5),BS208-(2*BL208-1)*$D$201)),""),"")</f>
        <v>0.00776972624798712</v>
      </c>
      <c r="BP208" s="0" t="n">
        <f aca="false">IF($B$201=1,IF(OR(BS208&gt;=Settings!$B$5,Settings!$C$20&gt;0),MAX(0,MIN(1,(BS208/$C$201-(2*MAX(BL208,Settings!$C$20)-1))/2)),MIN(1,BS208/Settings!$B$5)),"")</f>
        <v>0.932795698924731</v>
      </c>
      <c r="BQ208" s="0" t="n">
        <f aca="false">IF(AND($B$201=1,COUNTIF(C208:BJ208,$C$201)&gt;0),1,0)</f>
        <v>0</v>
      </c>
      <c r="BR208" s="0" t="n">
        <f aca="false">IF(AND($B$201=1,COUNTIF(C208:BJ208,$D$201)&gt;0),1,0)</f>
        <v>0</v>
      </c>
      <c r="BS208" s="0" t="n">
        <f aca="false">N(IF(Polls!N28="",Polls!N37,Polls!N28))</f>
        <v>0.0614444444444445</v>
      </c>
      <c r="BT208" s="0" t="str">
        <f aca="false">IF(OR(BS208&gt;=Settings!$B$5,Settings!$C$20&gt;0),"Next seat","Threshold")</f>
        <v>Next seat</v>
      </c>
    </row>
    <row r="210" customFormat="false" ht="15" hidden="false" customHeight="false" outlineLevel="0" collapsed="false">
      <c r="A210" s="41" t="n">
        <f aca="false">Polls!A29</f>
        <v>0</v>
      </c>
      <c r="B210" s="17" t="n">
        <f aca="false">IF(SUM(BS211:BS217)&gt;0,1,0)</f>
        <v>1</v>
      </c>
      <c r="C210" s="17" t="n">
        <f aca="false">IF(B210=1,LARGE(C211:BJ217,Settings!$B$4),0)</f>
        <v>0.00413333333333333</v>
      </c>
      <c r="D210" s="17" t="n">
        <f aca="false">IF(B210=1,LARGE(C211:BJ217,Settings!$B$4+1),0)</f>
        <v>0.00412882447665056</v>
      </c>
      <c r="E210" s="0" t="str">
        <f aca="false">IF(B210=1,IFERROR(INDEX(A211:A217,MATCH(1,BQ211:BQ217,0)),""),"")</f>
        <v>NZF</v>
      </c>
      <c r="F210" s="0" t="str">
        <f aca="false">IF(B210=1,IFERROR(INDEX(A211:A217,MATCH(1,BR211:BR217,0)),""),"")</f>
        <v>NAT</v>
      </c>
      <c r="G210" s="17" t="n">
        <f aca="false">IF(B210=1,SUM(BM211:BM217)+Settings!$B$10,"")</f>
        <v>122</v>
      </c>
    </row>
    <row r="211" customFormat="false" ht="15" hidden="false" customHeight="false" outlineLevel="0" collapsed="false">
      <c r="A211" s="0" t="s">
        <v>41</v>
      </c>
      <c r="B211" s="0" t="n">
        <f aca="false">IF(OR(BS211&gt;=Settings!$B$5,Settings!$C$14&gt;0),BS211,0)</f>
        <v>0.284888888888889</v>
      </c>
      <c r="C211" s="0" t="n">
        <f aca="false">$B211/C$1</f>
        <v>0.284888888888889</v>
      </c>
      <c r="D211" s="0" t="n">
        <f aca="false">$B211/D$1</f>
        <v>0.094962962962963</v>
      </c>
      <c r="E211" s="0" t="n">
        <f aca="false">$B211/E$1</f>
        <v>0.0569777777777778</v>
      </c>
      <c r="F211" s="0" t="n">
        <f aca="false">$B211/F$1</f>
        <v>0.0406984126984127</v>
      </c>
      <c r="G211" s="0" t="n">
        <f aca="false">$B211/G$1</f>
        <v>0.0316543209876543</v>
      </c>
      <c r="H211" s="0" t="n">
        <f aca="false">$B211/H$1</f>
        <v>0.0258989898989899</v>
      </c>
      <c r="I211" s="0" t="n">
        <f aca="false">$B211/I$1</f>
        <v>0.0219145299145299</v>
      </c>
      <c r="J211" s="0" t="n">
        <f aca="false">$B211/J$1</f>
        <v>0.0189925925925926</v>
      </c>
      <c r="K211" s="0" t="n">
        <f aca="false">$B211/K$1</f>
        <v>0.0167581699346405</v>
      </c>
      <c r="L211" s="0" t="n">
        <f aca="false">$B211/L$1</f>
        <v>0.0149941520467836</v>
      </c>
      <c r="M211" s="0" t="n">
        <f aca="false">$B211/M$1</f>
        <v>0.0135661375661376</v>
      </c>
      <c r="N211" s="0" t="n">
        <f aca="false">$B211/N$1</f>
        <v>0.0123864734299517</v>
      </c>
      <c r="O211" s="0" t="n">
        <f aca="false">$B211/O$1</f>
        <v>0.0113955555555556</v>
      </c>
      <c r="P211" s="0" t="n">
        <f aca="false">$B211/P$1</f>
        <v>0.0105514403292181</v>
      </c>
      <c r="Q211" s="0" t="n">
        <f aca="false">$B211/Q$1</f>
        <v>0.00982375478927203</v>
      </c>
      <c r="R211" s="0" t="n">
        <f aca="false">$B211/R$1</f>
        <v>0.0091899641577061</v>
      </c>
      <c r="S211" s="0" t="n">
        <f aca="false">$B211/S$1</f>
        <v>0.00863299663299663</v>
      </c>
      <c r="T211" s="0" t="n">
        <f aca="false">$B211/T$1</f>
        <v>0.00813968253968254</v>
      </c>
      <c r="U211" s="0" t="n">
        <f aca="false">$B211/U$1</f>
        <v>0.0076996996996997</v>
      </c>
      <c r="V211" s="0" t="n">
        <f aca="false">$B211/V$1</f>
        <v>0.00730484330484331</v>
      </c>
      <c r="W211" s="0" t="n">
        <f aca="false">$B211/W$1</f>
        <v>0.00694850948509485</v>
      </c>
      <c r="X211" s="0" t="n">
        <f aca="false">$B211/X$1</f>
        <v>0.00662532299741602</v>
      </c>
      <c r="Y211" s="0" t="n">
        <f aca="false">$B211/Y$1</f>
        <v>0.00633086419753086</v>
      </c>
      <c r="Z211" s="0" t="n">
        <f aca="false">$B211/Z$1</f>
        <v>0.00606146572104019</v>
      </c>
      <c r="AA211" s="0" t="n">
        <f aca="false">$B211/AA$1</f>
        <v>0.0058140589569161</v>
      </c>
      <c r="AB211" s="0" t="n">
        <f aca="false">$B211/AB$1</f>
        <v>0.00558605664488018</v>
      </c>
      <c r="AC211" s="0" t="n">
        <f aca="false">$B211/AC$1</f>
        <v>0.00537526205450734</v>
      </c>
      <c r="AD211" s="0" t="n">
        <f aca="false">$B211/AD$1</f>
        <v>0.00517979797979798</v>
      </c>
      <c r="AE211" s="0" t="n">
        <f aca="false">$B211/AE$1</f>
        <v>0.00499805068226121</v>
      </c>
      <c r="AF211" s="0" t="n">
        <f aca="false">$B211/AF$1</f>
        <v>0.0048286252354049</v>
      </c>
      <c r="AG211" s="0" t="n">
        <f aca="false">$B211/AG$1</f>
        <v>0.00467030965391621</v>
      </c>
      <c r="AH211" s="0" t="n">
        <f aca="false">$B211/AH$1</f>
        <v>0.00452204585537919</v>
      </c>
      <c r="AI211" s="0" t="n">
        <f aca="false">$B211/AI$1</f>
        <v>0.00438290598290598</v>
      </c>
      <c r="AJ211" s="0" t="n">
        <f aca="false">$B211/AJ$1</f>
        <v>0.00425207296849088</v>
      </c>
      <c r="AK211" s="0" t="n">
        <f aca="false">$B211/AK$1</f>
        <v>0.00412882447665056</v>
      </c>
      <c r="AL211" s="0" t="n">
        <f aca="false">$B211/AL$1</f>
        <v>0.00401251956181534</v>
      </c>
      <c r="AM211" s="0" t="n">
        <f aca="false">$B211/AM$1</f>
        <v>0.00390258751902588</v>
      </c>
      <c r="AN211" s="0" t="n">
        <f aca="false">$B211/AN$1</f>
        <v>0.00379851851851852</v>
      </c>
      <c r="AO211" s="0" t="n">
        <f aca="false">$B211/AO$1</f>
        <v>0.0036998556998557</v>
      </c>
      <c r="AP211" s="0" t="n">
        <f aca="false">$B211/AP$1</f>
        <v>0.00360618846694796</v>
      </c>
      <c r="AQ211" s="0" t="n">
        <f aca="false">$B211/AQ$1</f>
        <v>0.00351714677640604</v>
      </c>
      <c r="AR211" s="0" t="n">
        <f aca="false">$B211/AR$1</f>
        <v>0.00343239625167336</v>
      </c>
      <c r="AS211" s="0" t="n">
        <f aca="false">$B211/AS$1</f>
        <v>0.00335163398692811</v>
      </c>
      <c r="AT211" s="0" t="n">
        <f aca="false">$B211/AT$1</f>
        <v>0.00327458492975734</v>
      </c>
      <c r="AU211" s="0" t="n">
        <f aca="false">$B211/AU$1</f>
        <v>0.00320099875156055</v>
      </c>
      <c r="AV211" s="0" t="n">
        <f aca="false">$B211/AV$1</f>
        <v>0.00313064713064713</v>
      </c>
      <c r="AW211" s="0" t="n">
        <f aca="false">$B211/AW$1</f>
        <v>0.00306332138590203</v>
      </c>
      <c r="AX211" s="0" t="n">
        <f aca="false">$B211/AX$1</f>
        <v>0.00299883040935673</v>
      </c>
      <c r="AY211" s="0" t="n">
        <f aca="false">$B211/AY$1</f>
        <v>0.00293699885452463</v>
      </c>
      <c r="AZ211" s="0" t="n">
        <f aca="false">$B211/AZ$1</f>
        <v>0.00287766554433221</v>
      </c>
      <c r="BA211" s="0" t="n">
        <f aca="false">$B211/BA$1</f>
        <v>0.00282068206820682</v>
      </c>
      <c r="BB211" s="0" t="n">
        <f aca="false">$B211/BB$1</f>
        <v>0.00276591154261057</v>
      </c>
      <c r="BC211" s="0" t="n">
        <f aca="false">$B211/BC$1</f>
        <v>0.00271322751322751</v>
      </c>
      <c r="BD211" s="0" t="n">
        <f aca="false">$B211/BD$1</f>
        <v>0.00266251298026999</v>
      </c>
      <c r="BE211" s="0" t="n">
        <f aca="false">$B211/BE$1</f>
        <v>0.00261365953109072</v>
      </c>
      <c r="BF211" s="0" t="n">
        <f aca="false">$B211/BF$1</f>
        <v>0.00256656656656657</v>
      </c>
      <c r="BG211" s="0" t="n">
        <f aca="false">$B211/BG$1</f>
        <v>0.00252114060963619</v>
      </c>
      <c r="BH211" s="0" t="n">
        <f aca="false">$B211/BH$1</f>
        <v>0.00247729468599034</v>
      </c>
      <c r="BI211" s="0" t="n">
        <f aca="false">$B211/BI$1</f>
        <v>0.0024349477682811</v>
      </c>
      <c r="BJ211" s="0" t="n">
        <f aca="false">$B211/BJ$1</f>
        <v>0.00239402427637722</v>
      </c>
      <c r="BL211" s="0" t="n">
        <f aca="false">IF($B$210=1,COUNTIF(C211:BJ211,"&gt;="&amp;$C$210),0)</f>
        <v>34</v>
      </c>
      <c r="BM211" s="0" t="n">
        <f aca="false">IF($B$210=1,IF(OR(BS211&gt;=Settings!$B$5,Settings!$C$14&gt;0),MAX(BL211,Settings!$C$14),0),0)</f>
        <v>34</v>
      </c>
      <c r="BN211" s="0" t="n">
        <f aca="false">IF($B$210=1,IF(OR(BS211&gt;=Settings!$B$5,Settings!$C$14&gt;0),MAX(0,(2*MAX(BL211,Settings!$C$14)+1)*$C$210-BS211),MAX(0,Settings!$B$5-BS211)),"")</f>
        <v>0.000311111111111095</v>
      </c>
      <c r="BO211" s="0" t="n">
        <f aca="false">IF($B$210=1,IF(OR(BS211&gt;=Settings!$B$5,Settings!$C$14&gt;0),IF(BL211&lt;=Settings!$C$14,"Protected by electorates",IF(Settings!$C$14=0,MIN(BS211-(2*BL211-1)*$D$210,BS211-Settings!$B$5),BS211-(2*BL211-1)*$D$210)),""),"")</f>
        <v>0.00825764895330111</v>
      </c>
      <c r="BP211" s="0" t="n">
        <f aca="false">IF($B$210=1,IF(OR(BS211&gt;=Settings!$B$5,Settings!$C$14&gt;0),MAX(0,MIN(1,(BS211/$C$210-(2*MAX(BL211,Settings!$C$14)-1))/2)),MIN(1,BS211/Settings!$B$5)),"")</f>
        <v>0.962365591397848</v>
      </c>
      <c r="BQ211" s="0" t="n">
        <f aca="false">IF(AND($B$210=1,COUNTIF(C211:BJ211,$C$210)&gt;0),1,0)</f>
        <v>0</v>
      </c>
      <c r="BR211" s="0" t="n">
        <f aca="false">IF(AND($B$210=1,COUNTIF(C211:BJ211,$D$210)&gt;0),1,0)</f>
        <v>1</v>
      </c>
      <c r="BS211" s="0" t="n">
        <f aca="false">N(IF(Polls!H29="",Polls!H37,Polls!H29))</f>
        <v>0.284888888888889</v>
      </c>
      <c r="BT211" s="0" t="str">
        <f aca="false">IF(OR(BS211&gt;=Settings!$B$5,Settings!$C$14&gt;0),"Next seat","Threshold")</f>
        <v>Next seat</v>
      </c>
    </row>
    <row r="212" customFormat="false" ht="15" hidden="false" customHeight="false" outlineLevel="0" collapsed="false">
      <c r="A212" s="0" t="s">
        <v>43</v>
      </c>
      <c r="B212" s="0" t="n">
        <f aca="false">IF(OR(BS212&gt;=Settings!$B$5,Settings!$C$15&gt;0),BS212,0)</f>
        <v>0.279333333333333</v>
      </c>
      <c r="C212" s="0" t="n">
        <f aca="false">$B212/C$1</f>
        <v>0.279333333333333</v>
      </c>
      <c r="D212" s="0" t="n">
        <f aca="false">$B212/D$1</f>
        <v>0.0931111111111111</v>
      </c>
      <c r="E212" s="0" t="n">
        <f aca="false">$B212/E$1</f>
        <v>0.0558666666666667</v>
      </c>
      <c r="F212" s="0" t="n">
        <f aca="false">$B212/F$1</f>
        <v>0.0399047619047619</v>
      </c>
      <c r="G212" s="0" t="n">
        <f aca="false">$B212/G$1</f>
        <v>0.031037037037037</v>
      </c>
      <c r="H212" s="0" t="n">
        <f aca="false">$B212/H$1</f>
        <v>0.0253939393939394</v>
      </c>
      <c r="I212" s="0" t="n">
        <f aca="false">$B212/I$1</f>
        <v>0.0214871794871795</v>
      </c>
      <c r="J212" s="0" t="n">
        <f aca="false">$B212/J$1</f>
        <v>0.0186222222222222</v>
      </c>
      <c r="K212" s="0" t="n">
        <f aca="false">$B212/K$1</f>
        <v>0.0164313725490196</v>
      </c>
      <c r="L212" s="0" t="n">
        <f aca="false">$B212/L$1</f>
        <v>0.0147017543859649</v>
      </c>
      <c r="M212" s="0" t="n">
        <f aca="false">$B212/M$1</f>
        <v>0.0133015873015873</v>
      </c>
      <c r="N212" s="0" t="n">
        <f aca="false">$B212/N$1</f>
        <v>0.0121449275362319</v>
      </c>
      <c r="O212" s="0" t="n">
        <f aca="false">$B212/O$1</f>
        <v>0.0111733333333333</v>
      </c>
      <c r="P212" s="0" t="n">
        <f aca="false">$B212/P$1</f>
        <v>0.0103456790123457</v>
      </c>
      <c r="Q212" s="0" t="n">
        <f aca="false">$B212/Q$1</f>
        <v>0.00963218390804598</v>
      </c>
      <c r="R212" s="0" t="n">
        <f aca="false">$B212/R$1</f>
        <v>0.00901075268817204</v>
      </c>
      <c r="S212" s="0" t="n">
        <f aca="false">$B212/S$1</f>
        <v>0.00846464646464647</v>
      </c>
      <c r="T212" s="0" t="n">
        <f aca="false">$B212/T$1</f>
        <v>0.00798095238095238</v>
      </c>
      <c r="U212" s="0" t="n">
        <f aca="false">$B212/U$1</f>
        <v>0.00754954954954955</v>
      </c>
      <c r="V212" s="0" t="n">
        <f aca="false">$B212/V$1</f>
        <v>0.00716239316239316</v>
      </c>
      <c r="W212" s="0" t="n">
        <f aca="false">$B212/W$1</f>
        <v>0.0068130081300813</v>
      </c>
      <c r="X212" s="0" t="n">
        <f aca="false">$B212/X$1</f>
        <v>0.00649612403100775</v>
      </c>
      <c r="Y212" s="0" t="n">
        <f aca="false">$B212/Y$1</f>
        <v>0.00620740740740741</v>
      </c>
      <c r="Z212" s="0" t="n">
        <f aca="false">$B212/Z$1</f>
        <v>0.00594326241134752</v>
      </c>
      <c r="AA212" s="0" t="n">
        <f aca="false">$B212/AA$1</f>
        <v>0.00570068027210885</v>
      </c>
      <c r="AB212" s="0" t="n">
        <f aca="false">$B212/AB$1</f>
        <v>0.00547712418300654</v>
      </c>
      <c r="AC212" s="0" t="n">
        <f aca="false">$B212/AC$1</f>
        <v>0.00527044025157233</v>
      </c>
      <c r="AD212" s="0" t="n">
        <f aca="false">$B212/AD$1</f>
        <v>0.00507878787878788</v>
      </c>
      <c r="AE212" s="0" t="n">
        <f aca="false">$B212/AE$1</f>
        <v>0.00490058479532164</v>
      </c>
      <c r="AF212" s="0" t="n">
        <f aca="false">$B212/AF$1</f>
        <v>0.00473446327683616</v>
      </c>
      <c r="AG212" s="0" t="n">
        <f aca="false">$B212/AG$1</f>
        <v>0.0045792349726776</v>
      </c>
      <c r="AH212" s="0" t="n">
        <f aca="false">$B212/AH$1</f>
        <v>0.00443386243386244</v>
      </c>
      <c r="AI212" s="0" t="n">
        <f aca="false">$B212/AI$1</f>
        <v>0.0042974358974359</v>
      </c>
      <c r="AJ212" s="0" t="n">
        <f aca="false">$B212/AJ$1</f>
        <v>0.00416915422885572</v>
      </c>
      <c r="AK212" s="0" t="n">
        <f aca="false">$B212/AK$1</f>
        <v>0.00404830917874396</v>
      </c>
      <c r="AL212" s="0" t="n">
        <f aca="false">$B212/AL$1</f>
        <v>0.00393427230046948</v>
      </c>
      <c r="AM212" s="0" t="n">
        <f aca="false">$B212/AM$1</f>
        <v>0.00382648401826484</v>
      </c>
      <c r="AN212" s="0" t="n">
        <f aca="false">$B212/AN$1</f>
        <v>0.00372444444444445</v>
      </c>
      <c r="AO212" s="0" t="n">
        <f aca="false">$B212/AO$1</f>
        <v>0.00362770562770563</v>
      </c>
      <c r="AP212" s="0" t="n">
        <f aca="false">$B212/AP$1</f>
        <v>0.00353586497890295</v>
      </c>
      <c r="AQ212" s="0" t="n">
        <f aca="false">$B212/AQ$1</f>
        <v>0.00344855967078189</v>
      </c>
      <c r="AR212" s="0" t="n">
        <f aca="false">$B212/AR$1</f>
        <v>0.00336546184738956</v>
      </c>
      <c r="AS212" s="0" t="n">
        <f aca="false">$B212/AS$1</f>
        <v>0.00328627450980392</v>
      </c>
      <c r="AT212" s="0" t="n">
        <f aca="false">$B212/AT$1</f>
        <v>0.00321072796934866</v>
      </c>
      <c r="AU212" s="0" t="n">
        <f aca="false">$B212/AU$1</f>
        <v>0.00313857677902622</v>
      </c>
      <c r="AV212" s="0" t="n">
        <f aca="false">$B212/AV$1</f>
        <v>0.00306959706959707</v>
      </c>
      <c r="AW212" s="0" t="n">
        <f aca="false">$B212/AW$1</f>
        <v>0.00300358422939068</v>
      </c>
      <c r="AX212" s="0" t="n">
        <f aca="false">$B212/AX$1</f>
        <v>0.00294035087719298</v>
      </c>
      <c r="AY212" s="0" t="n">
        <f aca="false">$B212/AY$1</f>
        <v>0.00287972508591065</v>
      </c>
      <c r="AZ212" s="0" t="n">
        <f aca="false">$B212/AZ$1</f>
        <v>0.00282154882154882</v>
      </c>
      <c r="BA212" s="0" t="n">
        <f aca="false">$B212/BA$1</f>
        <v>0.00276567656765677</v>
      </c>
      <c r="BB212" s="0" t="n">
        <f aca="false">$B212/BB$1</f>
        <v>0.00271197411003236</v>
      </c>
      <c r="BC212" s="0" t="n">
        <f aca="false">$B212/BC$1</f>
        <v>0.00266031746031746</v>
      </c>
      <c r="BD212" s="0" t="n">
        <f aca="false">$B212/BD$1</f>
        <v>0.00261059190031153</v>
      </c>
      <c r="BE212" s="0" t="n">
        <f aca="false">$B212/BE$1</f>
        <v>0.00256269113149847</v>
      </c>
      <c r="BF212" s="0" t="n">
        <f aca="false">$B212/BF$1</f>
        <v>0.00251651651651652</v>
      </c>
      <c r="BG212" s="0" t="n">
        <f aca="false">$B212/BG$1</f>
        <v>0.00247197640117994</v>
      </c>
      <c r="BH212" s="0" t="n">
        <f aca="false">$B212/BH$1</f>
        <v>0.00242898550724638</v>
      </c>
      <c r="BI212" s="0" t="n">
        <f aca="false">$B212/BI$1</f>
        <v>0.00238746438746439</v>
      </c>
      <c r="BJ212" s="0" t="n">
        <f aca="false">$B212/BJ$1</f>
        <v>0.00234733893557423</v>
      </c>
      <c r="BL212" s="0" t="n">
        <f aca="false">IF($B$210=1,COUNTIF(C212:BJ212,"&gt;="&amp;$C$210),0)</f>
        <v>34</v>
      </c>
      <c r="BM212" s="0" t="n">
        <f aca="false">IF($B$210=1,IF(OR(BS212&gt;=Settings!$B$5,Settings!$C$15&gt;0),MAX(BL212,Settings!$C$15),0),0)</f>
        <v>34</v>
      </c>
      <c r="BN212" s="0" t="n">
        <f aca="false">IF($B$210=1,IF(OR(BS212&gt;=Settings!$B$5,Settings!$C$15&gt;0),MAX(0,(2*MAX(BL212,Settings!$C$15)+1)*$C$210-BS212),MAX(0,Settings!$B$5-BS212)),"")</f>
        <v>0.00586666666666663</v>
      </c>
      <c r="BO212" s="0" t="n">
        <f aca="false">IF($B$210=1,IF(OR(BS212&gt;=Settings!$B$5,Settings!$C$15&gt;0),IF(BL212&lt;=Settings!$C$15,"Protected by electorates",IF(Settings!$C$15=0,MIN(BS212-(2*BL212-1)*$D$210,BS212-Settings!$B$5),BS212-(2*BL212-1)*$D$210)),""),"")</f>
        <v>0.00270209339774558</v>
      </c>
      <c r="BP212" s="0" t="n">
        <f aca="false">IF($B$210=1,IF(OR(BS212&gt;=Settings!$B$5,Settings!$C$15&gt;0),MAX(0,MIN(1,(BS212/$C$210-(2*MAX(BL212,Settings!$C$15)-1))/2)),MIN(1,BS212/Settings!$B$5)),"")</f>
        <v>0.290322580645167</v>
      </c>
      <c r="BQ212" s="0" t="n">
        <f aca="false">IF(AND($B$210=1,COUNTIF(C212:BJ212,$C$210)&gt;0),1,0)</f>
        <v>0</v>
      </c>
      <c r="BR212" s="0" t="n">
        <f aca="false">IF(AND($B$210=1,COUNTIF(C212:BJ212,$D$210)&gt;0),1,0)</f>
        <v>0</v>
      </c>
      <c r="BS212" s="0" t="n">
        <f aca="false">N(IF(Polls!I29="",Polls!I37,Polls!I29))</f>
        <v>0.279333333333333</v>
      </c>
      <c r="BT212" s="0" t="str">
        <f aca="false">IF(OR(BS212&gt;=Settings!$B$5,Settings!$C$15&gt;0),"Next seat","Threshold")</f>
        <v>Next seat</v>
      </c>
    </row>
    <row r="213" customFormat="false" ht="15" hidden="false" customHeight="false" outlineLevel="0" collapsed="false">
      <c r="A213" s="0" t="s">
        <v>45</v>
      </c>
      <c r="B213" s="0" t="n">
        <f aca="false">IF(OR(BS213&gt;=Settings!$B$5,Settings!$C$16&gt;0),BS213,0)</f>
        <v>0.145555555555556</v>
      </c>
      <c r="C213" s="0" t="n">
        <f aca="false">$B213/C$1</f>
        <v>0.145555555555556</v>
      </c>
      <c r="D213" s="0" t="n">
        <f aca="false">$B213/D$1</f>
        <v>0.0485185185185185</v>
      </c>
      <c r="E213" s="0" t="n">
        <f aca="false">$B213/E$1</f>
        <v>0.0291111111111111</v>
      </c>
      <c r="F213" s="0" t="n">
        <f aca="false">$B213/F$1</f>
        <v>0.0207936507936508</v>
      </c>
      <c r="G213" s="0" t="n">
        <f aca="false">$B213/G$1</f>
        <v>0.0161728395061728</v>
      </c>
      <c r="H213" s="0" t="n">
        <f aca="false">$B213/H$1</f>
        <v>0.0132323232323232</v>
      </c>
      <c r="I213" s="0" t="n">
        <f aca="false">$B213/I$1</f>
        <v>0.0111965811965812</v>
      </c>
      <c r="J213" s="0" t="n">
        <f aca="false">$B213/J$1</f>
        <v>0.0097037037037037</v>
      </c>
      <c r="K213" s="0" t="n">
        <f aca="false">$B213/K$1</f>
        <v>0.00856209150326797</v>
      </c>
      <c r="L213" s="0" t="n">
        <f aca="false">$B213/L$1</f>
        <v>0.00766081871345029</v>
      </c>
      <c r="M213" s="0" t="n">
        <f aca="false">$B213/M$1</f>
        <v>0.00693121693121693</v>
      </c>
      <c r="N213" s="0" t="n">
        <f aca="false">$B213/N$1</f>
        <v>0.00632850241545894</v>
      </c>
      <c r="O213" s="0" t="n">
        <f aca="false">$B213/O$1</f>
        <v>0.00582222222222222</v>
      </c>
      <c r="P213" s="0" t="n">
        <f aca="false">$B213/P$1</f>
        <v>0.00539094650205761</v>
      </c>
      <c r="Q213" s="0" t="n">
        <f aca="false">$B213/Q$1</f>
        <v>0.00501915708812261</v>
      </c>
      <c r="R213" s="0" t="n">
        <f aca="false">$B213/R$1</f>
        <v>0.00469534050179212</v>
      </c>
      <c r="S213" s="0" t="n">
        <f aca="false">$B213/S$1</f>
        <v>0.00441077441077441</v>
      </c>
      <c r="T213" s="0" t="n">
        <f aca="false">$B213/T$1</f>
        <v>0.00415873015873016</v>
      </c>
      <c r="U213" s="0" t="n">
        <f aca="false">$B213/U$1</f>
        <v>0.00393393393393393</v>
      </c>
      <c r="V213" s="0" t="n">
        <f aca="false">$B213/V$1</f>
        <v>0.00373219373219373</v>
      </c>
      <c r="W213" s="0" t="n">
        <f aca="false">$B213/W$1</f>
        <v>0.00355013550135501</v>
      </c>
      <c r="X213" s="0" t="n">
        <f aca="false">$B213/X$1</f>
        <v>0.00338501291989664</v>
      </c>
      <c r="Y213" s="0" t="n">
        <f aca="false">$B213/Y$1</f>
        <v>0.00323456790123457</v>
      </c>
      <c r="Z213" s="0" t="n">
        <f aca="false">$B213/Z$1</f>
        <v>0.00309692671394799</v>
      </c>
      <c r="AA213" s="0" t="n">
        <f aca="false">$B213/AA$1</f>
        <v>0.00297052154195011</v>
      </c>
      <c r="AB213" s="0" t="n">
        <f aca="false">$B213/AB$1</f>
        <v>0.00285403050108932</v>
      </c>
      <c r="AC213" s="0" t="n">
        <f aca="false">$B213/AC$1</f>
        <v>0.00274633123689727</v>
      </c>
      <c r="AD213" s="0" t="n">
        <f aca="false">$B213/AD$1</f>
        <v>0.00264646464646465</v>
      </c>
      <c r="AE213" s="0" t="n">
        <f aca="false">$B213/AE$1</f>
        <v>0.00255360623781676</v>
      </c>
      <c r="AF213" s="0" t="n">
        <f aca="false">$B213/AF$1</f>
        <v>0.00246704331450094</v>
      </c>
      <c r="AG213" s="0" t="n">
        <f aca="false">$B213/AG$1</f>
        <v>0.00238615664845173</v>
      </c>
      <c r="AH213" s="0" t="n">
        <f aca="false">$B213/AH$1</f>
        <v>0.00231040564373898</v>
      </c>
      <c r="AI213" s="0" t="n">
        <f aca="false">$B213/AI$1</f>
        <v>0.00223931623931624</v>
      </c>
      <c r="AJ213" s="0" t="n">
        <f aca="false">$B213/AJ$1</f>
        <v>0.00217247097844113</v>
      </c>
      <c r="AK213" s="0" t="n">
        <f aca="false">$B213/AK$1</f>
        <v>0.00210950080515298</v>
      </c>
      <c r="AL213" s="0" t="n">
        <f aca="false">$B213/AL$1</f>
        <v>0.00205007824726135</v>
      </c>
      <c r="AM213" s="0" t="n">
        <f aca="false">$B213/AM$1</f>
        <v>0.00199391171993912</v>
      </c>
      <c r="AN213" s="0" t="n">
        <f aca="false">$B213/AN$1</f>
        <v>0.00194074074074074</v>
      </c>
      <c r="AO213" s="0" t="n">
        <f aca="false">$B213/AO$1</f>
        <v>0.00189033189033189</v>
      </c>
      <c r="AP213" s="0" t="n">
        <f aca="false">$B213/AP$1</f>
        <v>0.00184247538677918</v>
      </c>
      <c r="AQ213" s="0" t="n">
        <f aca="false">$B213/AQ$1</f>
        <v>0.00179698216735254</v>
      </c>
      <c r="AR213" s="0" t="n">
        <f aca="false">$B213/AR$1</f>
        <v>0.00175368139223561</v>
      </c>
      <c r="AS213" s="0" t="n">
        <f aca="false">$B213/AS$1</f>
        <v>0.00171241830065359</v>
      </c>
      <c r="AT213" s="0" t="n">
        <f aca="false">$B213/AT$1</f>
        <v>0.00167305236270754</v>
      </c>
      <c r="AU213" s="0" t="n">
        <f aca="false">$B213/AU$1</f>
        <v>0.0016354556803995</v>
      </c>
      <c r="AV213" s="0" t="n">
        <f aca="false">$B213/AV$1</f>
        <v>0.0015995115995116</v>
      </c>
      <c r="AW213" s="0" t="n">
        <f aca="false">$B213/AW$1</f>
        <v>0.00156511350059737</v>
      </c>
      <c r="AX213" s="0" t="n">
        <f aca="false">$B213/AX$1</f>
        <v>0.00153216374269006</v>
      </c>
      <c r="AY213" s="0" t="n">
        <f aca="false">$B213/AY$1</f>
        <v>0.00150057273768614</v>
      </c>
      <c r="AZ213" s="0" t="n">
        <f aca="false">$B213/AZ$1</f>
        <v>0.0014702581369248</v>
      </c>
      <c r="BA213" s="0" t="n">
        <f aca="false">$B213/BA$1</f>
        <v>0.00144114411441144</v>
      </c>
      <c r="BB213" s="0" t="n">
        <f aca="false">$B213/BB$1</f>
        <v>0.00141316073354908</v>
      </c>
      <c r="BC213" s="0" t="n">
        <f aca="false">$B213/BC$1</f>
        <v>0.00138624338624339</v>
      </c>
      <c r="BD213" s="0" t="n">
        <f aca="false">$B213/BD$1</f>
        <v>0.00136033229491173</v>
      </c>
      <c r="BE213" s="0" t="n">
        <f aca="false">$B213/BE$1</f>
        <v>0.00133537206931702</v>
      </c>
      <c r="BF213" s="0" t="n">
        <f aca="false">$B213/BF$1</f>
        <v>0.00131131131131131</v>
      </c>
      <c r="BG213" s="0" t="n">
        <f aca="false">$B213/BG$1</f>
        <v>0.00128810226155359</v>
      </c>
      <c r="BH213" s="0" t="n">
        <f aca="false">$B213/BH$1</f>
        <v>0.00126570048309179</v>
      </c>
      <c r="BI213" s="0" t="n">
        <f aca="false">$B213/BI$1</f>
        <v>0.00124406457739791</v>
      </c>
      <c r="BJ213" s="0" t="n">
        <f aca="false">$B213/BJ$1</f>
        <v>0.00122315592903828</v>
      </c>
      <c r="BL213" s="0" t="n">
        <f aca="false">IF($B$210=1,COUNTIF(C213:BJ213,"&gt;="&amp;$C$210),0)</f>
        <v>18</v>
      </c>
      <c r="BM213" s="0" t="n">
        <f aca="false">IF($B$210=1,IF(OR(BS213&gt;=Settings!$B$5,Settings!$C$16&gt;0),MAX(BL213,Settings!$C$16),0),0)</f>
        <v>18</v>
      </c>
      <c r="BN213" s="0" t="n">
        <f aca="false">IF($B$210=1,IF(OR(BS213&gt;=Settings!$B$5,Settings!$C$16&gt;0),MAX(0,(2*MAX(BL213,Settings!$C$16)+1)*$C$210-BS213),MAX(0,Settings!$B$5-BS213)),"")</f>
        <v>0.00737777777777779</v>
      </c>
      <c r="BO213" s="0" t="n">
        <f aca="false">IF($B$210=1,IF(OR(BS213&gt;=Settings!$B$5,Settings!$C$16&gt;0),IF(BL213&lt;=Settings!$C$16,"Protected by electorates",IF(Settings!$C$16=0,MIN(BS213-(2*BL213-1)*$D$210,BS213-Settings!$B$5),BS213-(2*BL213-1)*$D$210)),""),"")</f>
        <v>0.0010466988727858</v>
      </c>
      <c r="BP213" s="0" t="n">
        <f aca="false">IF($B$210=1,IF(OR(BS213&gt;=Settings!$B$5,Settings!$C$16&gt;0),MAX(0,MIN(1,(BS213/$C$210-(2*MAX(BL213,Settings!$C$16)-1))/2)),MIN(1,BS213/Settings!$B$5)),"")</f>
        <v>0.107526881720428</v>
      </c>
      <c r="BQ213" s="0" t="n">
        <f aca="false">IF(AND($B$210=1,COUNTIF(C213:BJ213,$C$210)&gt;0),1,0)</f>
        <v>0</v>
      </c>
      <c r="BR213" s="0" t="n">
        <f aca="false">IF(AND($B$210=1,COUNTIF(C213:BJ213,$D$210)&gt;0),1,0)</f>
        <v>0</v>
      </c>
      <c r="BS213" s="0" t="n">
        <f aca="false">N(IF(Polls!J29="",Polls!J37,Polls!J29))</f>
        <v>0.145555555555556</v>
      </c>
      <c r="BT213" s="0" t="str">
        <f aca="false">IF(OR(BS213&gt;=Settings!$B$5,Settings!$C$16&gt;0),"Next seat","Threshold")</f>
        <v>Next seat</v>
      </c>
    </row>
    <row r="214" customFormat="false" ht="15" hidden="false" customHeight="false" outlineLevel="0" collapsed="false">
      <c r="A214" s="0" t="s">
        <v>46</v>
      </c>
      <c r="B214" s="0" t="n">
        <f aca="false">IF(OR(BS214&gt;=Settings!$B$5,Settings!$C$17&gt;0),BS214,0)</f>
        <v>0.0963333333333333</v>
      </c>
      <c r="C214" s="0" t="n">
        <f aca="false">$B214/C$1</f>
        <v>0.0963333333333333</v>
      </c>
      <c r="D214" s="0" t="n">
        <f aca="false">$B214/D$1</f>
        <v>0.0321111111111111</v>
      </c>
      <c r="E214" s="0" t="n">
        <f aca="false">$B214/E$1</f>
        <v>0.0192666666666667</v>
      </c>
      <c r="F214" s="0" t="n">
        <f aca="false">$B214/F$1</f>
        <v>0.0137619047619048</v>
      </c>
      <c r="G214" s="0" t="n">
        <f aca="false">$B214/G$1</f>
        <v>0.0107037037037037</v>
      </c>
      <c r="H214" s="0" t="n">
        <f aca="false">$B214/H$1</f>
        <v>0.00875757575757576</v>
      </c>
      <c r="I214" s="0" t="n">
        <f aca="false">$B214/I$1</f>
        <v>0.00741025641025641</v>
      </c>
      <c r="J214" s="0" t="n">
        <f aca="false">$B214/J$1</f>
        <v>0.00642222222222222</v>
      </c>
      <c r="K214" s="0" t="n">
        <f aca="false">$B214/K$1</f>
        <v>0.00566666666666667</v>
      </c>
      <c r="L214" s="0" t="n">
        <f aca="false">$B214/L$1</f>
        <v>0.00507017543859649</v>
      </c>
      <c r="M214" s="0" t="n">
        <f aca="false">$B214/M$1</f>
        <v>0.00458730158730159</v>
      </c>
      <c r="N214" s="0" t="n">
        <f aca="false">$B214/N$1</f>
        <v>0.00418840579710145</v>
      </c>
      <c r="O214" s="0" t="n">
        <f aca="false">$B214/O$1</f>
        <v>0.00385333333333333</v>
      </c>
      <c r="P214" s="0" t="n">
        <f aca="false">$B214/P$1</f>
        <v>0.0035679012345679</v>
      </c>
      <c r="Q214" s="0" t="n">
        <f aca="false">$B214/Q$1</f>
        <v>0.00332183908045977</v>
      </c>
      <c r="R214" s="0" t="n">
        <f aca="false">$B214/R$1</f>
        <v>0.00310752688172043</v>
      </c>
      <c r="S214" s="0" t="n">
        <f aca="false">$B214/S$1</f>
        <v>0.00291919191919192</v>
      </c>
      <c r="T214" s="0" t="n">
        <f aca="false">$B214/T$1</f>
        <v>0.00275238095238095</v>
      </c>
      <c r="U214" s="0" t="n">
        <f aca="false">$B214/U$1</f>
        <v>0.0026036036036036</v>
      </c>
      <c r="V214" s="0" t="n">
        <f aca="false">$B214/V$1</f>
        <v>0.00247008547008547</v>
      </c>
      <c r="W214" s="0" t="n">
        <f aca="false">$B214/W$1</f>
        <v>0.00234959349593496</v>
      </c>
      <c r="X214" s="0" t="n">
        <f aca="false">$B214/X$1</f>
        <v>0.00224031007751938</v>
      </c>
      <c r="Y214" s="0" t="n">
        <f aca="false">$B214/Y$1</f>
        <v>0.00214074074074074</v>
      </c>
      <c r="Z214" s="0" t="n">
        <f aca="false">$B214/Z$1</f>
        <v>0.00204964539007092</v>
      </c>
      <c r="AA214" s="0" t="n">
        <f aca="false">$B214/AA$1</f>
        <v>0.00196598639455782</v>
      </c>
      <c r="AB214" s="0" t="n">
        <f aca="false">$B214/AB$1</f>
        <v>0.00188888888888889</v>
      </c>
      <c r="AC214" s="0" t="n">
        <f aca="false">$B214/AC$1</f>
        <v>0.00181761006289308</v>
      </c>
      <c r="AD214" s="0" t="n">
        <f aca="false">$B214/AD$1</f>
        <v>0.00175151515151515</v>
      </c>
      <c r="AE214" s="0" t="n">
        <f aca="false">$B214/AE$1</f>
        <v>0.00169005847953216</v>
      </c>
      <c r="AF214" s="0" t="n">
        <f aca="false">$B214/AF$1</f>
        <v>0.00163276836158192</v>
      </c>
      <c r="AG214" s="0" t="n">
        <f aca="false">$B214/AG$1</f>
        <v>0.0015792349726776</v>
      </c>
      <c r="AH214" s="0" t="n">
        <f aca="false">$B214/AH$1</f>
        <v>0.00152910052910053</v>
      </c>
      <c r="AI214" s="0" t="n">
        <f aca="false">$B214/AI$1</f>
        <v>0.00148205128205128</v>
      </c>
      <c r="AJ214" s="0" t="n">
        <f aca="false">$B214/AJ$1</f>
        <v>0.00143781094527363</v>
      </c>
      <c r="AK214" s="0" t="n">
        <f aca="false">$B214/AK$1</f>
        <v>0.00139613526570048</v>
      </c>
      <c r="AL214" s="0" t="n">
        <f aca="false">$B214/AL$1</f>
        <v>0.00135680751173709</v>
      </c>
      <c r="AM214" s="0" t="n">
        <f aca="false">$B214/AM$1</f>
        <v>0.00131963470319635</v>
      </c>
      <c r="AN214" s="0" t="n">
        <f aca="false">$B214/AN$1</f>
        <v>0.00128444444444444</v>
      </c>
      <c r="AO214" s="0" t="n">
        <f aca="false">$B214/AO$1</f>
        <v>0.00125108225108225</v>
      </c>
      <c r="AP214" s="0" t="n">
        <f aca="false">$B214/AP$1</f>
        <v>0.00121940928270042</v>
      </c>
      <c r="AQ214" s="0" t="n">
        <f aca="false">$B214/AQ$1</f>
        <v>0.00118930041152263</v>
      </c>
      <c r="AR214" s="0" t="n">
        <f aca="false">$B214/AR$1</f>
        <v>0.00116064257028112</v>
      </c>
      <c r="AS214" s="0" t="n">
        <f aca="false">$B214/AS$1</f>
        <v>0.00113333333333333</v>
      </c>
      <c r="AT214" s="0" t="n">
        <f aca="false">$B214/AT$1</f>
        <v>0.00110727969348659</v>
      </c>
      <c r="AU214" s="0" t="n">
        <f aca="false">$B214/AU$1</f>
        <v>0.00108239700374532</v>
      </c>
      <c r="AV214" s="0" t="n">
        <f aca="false">$B214/AV$1</f>
        <v>0.00105860805860806</v>
      </c>
      <c r="AW214" s="0" t="n">
        <f aca="false">$B214/AW$1</f>
        <v>0.00103584229390681</v>
      </c>
      <c r="AX214" s="0" t="n">
        <f aca="false">$B214/AX$1</f>
        <v>0.0010140350877193</v>
      </c>
      <c r="AY214" s="0" t="n">
        <f aca="false">$B214/AY$1</f>
        <v>0.000993127147766323</v>
      </c>
      <c r="AZ214" s="0" t="n">
        <f aca="false">$B214/AZ$1</f>
        <v>0.000973063973063973</v>
      </c>
      <c r="BA214" s="0" t="n">
        <f aca="false">$B214/BA$1</f>
        <v>0.000953795379537954</v>
      </c>
      <c r="BB214" s="0" t="n">
        <f aca="false">$B214/BB$1</f>
        <v>0.000935275080906149</v>
      </c>
      <c r="BC214" s="0" t="n">
        <f aca="false">$B214/BC$1</f>
        <v>0.000917460317460317</v>
      </c>
      <c r="BD214" s="0" t="n">
        <f aca="false">$B214/BD$1</f>
        <v>0.000900311526479751</v>
      </c>
      <c r="BE214" s="0" t="n">
        <f aca="false">$B214/BE$1</f>
        <v>0.000883792048929664</v>
      </c>
      <c r="BF214" s="0" t="n">
        <f aca="false">$B214/BF$1</f>
        <v>0.000867867867867868</v>
      </c>
      <c r="BG214" s="0" t="n">
        <f aca="false">$B214/BG$1</f>
        <v>0.000852507374631268</v>
      </c>
      <c r="BH214" s="0" t="n">
        <f aca="false">$B214/BH$1</f>
        <v>0.00083768115942029</v>
      </c>
      <c r="BI214" s="0" t="n">
        <f aca="false">$B214/BI$1</f>
        <v>0.000823361823361823</v>
      </c>
      <c r="BJ214" s="0" t="n">
        <f aca="false">$B214/BJ$1</f>
        <v>0.00080952380952381</v>
      </c>
      <c r="BL214" s="0" t="n">
        <f aca="false">IF($B$210=1,COUNTIF(C214:BJ214,"&gt;="&amp;$C$210),0)</f>
        <v>12</v>
      </c>
      <c r="BM214" s="0" t="n">
        <f aca="false">IF($B$210=1,IF(OR(BS214&gt;=Settings!$B$5,Settings!$C$17&gt;0),MAX(BL214,Settings!$C$17),0),0)</f>
        <v>12</v>
      </c>
      <c r="BN214" s="0" t="n">
        <f aca="false">IF($B$210=1,IF(OR(BS214&gt;=Settings!$B$5,Settings!$C$17&gt;0),MAX(0,(2*MAX(BL214,Settings!$C$17)+1)*$C$210-BS214),MAX(0,Settings!$B$5-BS214)),"")</f>
        <v>0.00700000000000001</v>
      </c>
      <c r="BO214" s="0" t="n">
        <f aca="false">IF($B$210=1,IF(OR(BS214&gt;=Settings!$B$5,Settings!$C$17&gt;0),IF(BL214&lt;=Settings!$C$17,"Protected by electorates",IF(Settings!$C$17=0,MIN(BS214-(2*BL214-1)*$D$210,BS214-Settings!$B$5),BS214-(2*BL214-1)*$D$210)),""),"")</f>
        <v>0.00137037037037036</v>
      </c>
      <c r="BP214" s="0" t="n">
        <f aca="false">IF($B$210=1,IF(OR(BS214&gt;=Settings!$B$5,Settings!$C$17&gt;0),MAX(0,MIN(1,(BS214/$C$210-(2*MAX(BL214,Settings!$C$17)-1))/2)),MIN(1,BS214/Settings!$B$5)),"")</f>
        <v>0.153225806451612</v>
      </c>
      <c r="BQ214" s="0" t="n">
        <f aca="false">IF(AND($B$210=1,COUNTIF(C214:BJ214,$C$210)&gt;0),1,0)</f>
        <v>0</v>
      </c>
      <c r="BR214" s="0" t="n">
        <f aca="false">IF(AND($B$210=1,COUNTIF(C214:BJ214,$D$210)&gt;0),1,0)</f>
        <v>0</v>
      </c>
      <c r="BS214" s="0" t="n">
        <f aca="false">N(IF(Polls!K29="",Polls!K37,Polls!K29))</f>
        <v>0.0963333333333333</v>
      </c>
      <c r="BT214" s="0" t="str">
        <f aca="false">IF(OR(BS214&gt;=Settings!$B$5,Settings!$C$17&gt;0),"Next seat","Threshold")</f>
        <v>Next seat</v>
      </c>
    </row>
    <row r="215" customFormat="false" ht="15" hidden="false" customHeight="false" outlineLevel="0" collapsed="false">
      <c r="A215" s="0" t="s">
        <v>48</v>
      </c>
      <c r="B215" s="0" t="n">
        <f aca="false">IF(OR(BS215&gt;=Settings!$B$5,Settings!$C$18&gt;0),BS215,0)</f>
        <v>0.103333333333333</v>
      </c>
      <c r="C215" s="0" t="n">
        <f aca="false">$B215/C$1</f>
        <v>0.103333333333333</v>
      </c>
      <c r="D215" s="0" t="n">
        <f aca="false">$B215/D$1</f>
        <v>0.0344444444444444</v>
      </c>
      <c r="E215" s="0" t="n">
        <f aca="false">$B215/E$1</f>
        <v>0.0206666666666667</v>
      </c>
      <c r="F215" s="0" t="n">
        <f aca="false">$B215/F$1</f>
        <v>0.0147619047619048</v>
      </c>
      <c r="G215" s="0" t="n">
        <f aca="false">$B215/G$1</f>
        <v>0.0114814814814815</v>
      </c>
      <c r="H215" s="0" t="n">
        <f aca="false">$B215/H$1</f>
        <v>0.00939393939393939</v>
      </c>
      <c r="I215" s="0" t="n">
        <f aca="false">$B215/I$1</f>
        <v>0.00794871794871795</v>
      </c>
      <c r="J215" s="0" t="n">
        <f aca="false">$B215/J$1</f>
        <v>0.00688888888888889</v>
      </c>
      <c r="K215" s="0" t="n">
        <f aca="false">$B215/K$1</f>
        <v>0.00607843137254902</v>
      </c>
      <c r="L215" s="0" t="n">
        <f aca="false">$B215/L$1</f>
        <v>0.00543859649122807</v>
      </c>
      <c r="M215" s="0" t="n">
        <f aca="false">$B215/M$1</f>
        <v>0.00492063492063492</v>
      </c>
      <c r="N215" s="0" t="n">
        <f aca="false">$B215/N$1</f>
        <v>0.00449275362318841</v>
      </c>
      <c r="O215" s="0" t="n">
        <f aca="false">$B215/O$1</f>
        <v>0.00413333333333333</v>
      </c>
      <c r="P215" s="0" t="n">
        <f aca="false">$B215/P$1</f>
        <v>0.00382716049382716</v>
      </c>
      <c r="Q215" s="0" t="n">
        <f aca="false">$B215/Q$1</f>
        <v>0.0035632183908046</v>
      </c>
      <c r="R215" s="0" t="n">
        <f aca="false">$B215/R$1</f>
        <v>0.00333333333333333</v>
      </c>
      <c r="S215" s="0" t="n">
        <f aca="false">$B215/S$1</f>
        <v>0.00313131313131313</v>
      </c>
      <c r="T215" s="0" t="n">
        <f aca="false">$B215/T$1</f>
        <v>0.00295238095238095</v>
      </c>
      <c r="U215" s="0" t="n">
        <f aca="false">$B215/U$1</f>
        <v>0.00279279279279279</v>
      </c>
      <c r="V215" s="0" t="n">
        <f aca="false">$B215/V$1</f>
        <v>0.00264957264957265</v>
      </c>
      <c r="W215" s="0" t="n">
        <f aca="false">$B215/W$1</f>
        <v>0.00252032520325203</v>
      </c>
      <c r="X215" s="0" t="n">
        <f aca="false">$B215/X$1</f>
        <v>0.0024031007751938</v>
      </c>
      <c r="Y215" s="0" t="n">
        <f aca="false">$B215/Y$1</f>
        <v>0.0022962962962963</v>
      </c>
      <c r="Z215" s="0" t="n">
        <f aca="false">$B215/Z$1</f>
        <v>0.00219858156028369</v>
      </c>
      <c r="AA215" s="0" t="n">
        <f aca="false">$B215/AA$1</f>
        <v>0.00210884353741497</v>
      </c>
      <c r="AB215" s="0" t="n">
        <f aca="false">$B215/AB$1</f>
        <v>0.00202614379084967</v>
      </c>
      <c r="AC215" s="0" t="n">
        <f aca="false">$B215/AC$1</f>
        <v>0.0019496855345912</v>
      </c>
      <c r="AD215" s="0" t="n">
        <f aca="false">$B215/AD$1</f>
        <v>0.00187878787878788</v>
      </c>
      <c r="AE215" s="0" t="n">
        <f aca="false">$B215/AE$1</f>
        <v>0.00181286549707602</v>
      </c>
      <c r="AF215" s="0" t="n">
        <f aca="false">$B215/AF$1</f>
        <v>0.00175141242937853</v>
      </c>
      <c r="AG215" s="0" t="n">
        <f aca="false">$B215/AG$1</f>
        <v>0.00169398907103825</v>
      </c>
      <c r="AH215" s="0" t="n">
        <f aca="false">$B215/AH$1</f>
        <v>0.00164021164021164</v>
      </c>
      <c r="AI215" s="0" t="n">
        <f aca="false">$B215/AI$1</f>
        <v>0.00158974358974359</v>
      </c>
      <c r="AJ215" s="0" t="n">
        <f aca="false">$B215/AJ$1</f>
        <v>0.00154228855721393</v>
      </c>
      <c r="AK215" s="0" t="n">
        <f aca="false">$B215/AK$1</f>
        <v>0.0014975845410628</v>
      </c>
      <c r="AL215" s="0" t="n">
        <f aca="false">$B215/AL$1</f>
        <v>0.00145539906103286</v>
      </c>
      <c r="AM215" s="0" t="n">
        <f aca="false">$B215/AM$1</f>
        <v>0.00141552511415525</v>
      </c>
      <c r="AN215" s="0" t="n">
        <f aca="false">$B215/AN$1</f>
        <v>0.00137777777777778</v>
      </c>
      <c r="AO215" s="0" t="n">
        <f aca="false">$B215/AO$1</f>
        <v>0.00134199134199134</v>
      </c>
      <c r="AP215" s="0" t="n">
        <f aca="false">$B215/AP$1</f>
        <v>0.00130801687763713</v>
      </c>
      <c r="AQ215" s="0" t="n">
        <f aca="false">$B215/AQ$1</f>
        <v>0.00127572016460905</v>
      </c>
      <c r="AR215" s="0" t="n">
        <f aca="false">$B215/AR$1</f>
        <v>0.00124497991967872</v>
      </c>
      <c r="AS215" s="0" t="n">
        <f aca="false">$B215/AS$1</f>
        <v>0.0012156862745098</v>
      </c>
      <c r="AT215" s="0" t="n">
        <f aca="false">$B215/AT$1</f>
        <v>0.00118773946360153</v>
      </c>
      <c r="AU215" s="0" t="n">
        <f aca="false">$B215/AU$1</f>
        <v>0.00116104868913858</v>
      </c>
      <c r="AV215" s="0" t="n">
        <f aca="false">$B215/AV$1</f>
        <v>0.00113553113553114</v>
      </c>
      <c r="AW215" s="0" t="n">
        <f aca="false">$B215/AW$1</f>
        <v>0.00111111111111111</v>
      </c>
      <c r="AX215" s="0" t="n">
        <f aca="false">$B215/AX$1</f>
        <v>0.00108771929824561</v>
      </c>
      <c r="AY215" s="0" t="n">
        <f aca="false">$B215/AY$1</f>
        <v>0.00106529209621993</v>
      </c>
      <c r="AZ215" s="0" t="n">
        <f aca="false">$B215/AZ$1</f>
        <v>0.00104377104377104</v>
      </c>
      <c r="BA215" s="0" t="n">
        <f aca="false">$B215/BA$1</f>
        <v>0.00102310231023102</v>
      </c>
      <c r="BB215" s="0" t="n">
        <f aca="false">$B215/BB$1</f>
        <v>0.00100323624595469</v>
      </c>
      <c r="BC215" s="0" t="n">
        <f aca="false">$B215/BC$1</f>
        <v>0.000984126984126984</v>
      </c>
      <c r="BD215" s="0" t="n">
        <f aca="false">$B215/BD$1</f>
        <v>0.000965732087227414</v>
      </c>
      <c r="BE215" s="0" t="n">
        <f aca="false">$B215/BE$1</f>
        <v>0.000948012232415902</v>
      </c>
      <c r="BF215" s="0" t="n">
        <f aca="false">$B215/BF$1</f>
        <v>0.000930930930930931</v>
      </c>
      <c r="BG215" s="0" t="n">
        <f aca="false">$B215/BG$1</f>
        <v>0.000914454277286136</v>
      </c>
      <c r="BH215" s="0" t="n">
        <f aca="false">$B215/BH$1</f>
        <v>0.000898550724637681</v>
      </c>
      <c r="BI215" s="0" t="n">
        <f aca="false">$B215/BI$1</f>
        <v>0.000883190883190883</v>
      </c>
      <c r="BJ215" s="0" t="n">
        <f aca="false">$B215/BJ$1</f>
        <v>0.000868347338935574</v>
      </c>
      <c r="BL215" s="0" t="n">
        <f aca="false">IF($B$210=1,COUNTIF(C215:BJ215,"&gt;="&amp;$C$210),0)</f>
        <v>13</v>
      </c>
      <c r="BM215" s="0" t="n">
        <f aca="false">IF($B$210=1,IF(OR(BS215&gt;=Settings!$B$5,Settings!$C$18&gt;0),MAX(BL215,Settings!$C$18),0),0)</f>
        <v>13</v>
      </c>
      <c r="BN215" s="0" t="n">
        <f aca="false">IF($B$210=1,IF(OR(BS215&gt;=Settings!$B$5,Settings!$C$18&gt;0),MAX(0,(2*MAX(BL215,Settings!$C$18)+1)*$C$210-BS215),MAX(0,Settings!$B$5-BS215)),"")</f>
        <v>0.00826666666666667</v>
      </c>
      <c r="BO215" s="0" t="n">
        <f aca="false">IF($B$210=1,IF(OR(BS215&gt;=Settings!$B$5,Settings!$C$18&gt;0),IF(BL215&lt;=Settings!$C$18,"Protected by electorates",IF(Settings!$C$18=0,MIN(BS215-(2*BL215-1)*$D$210,BS215-Settings!$B$5),BS215-(2*BL215-1)*$D$210)),""),"")</f>
        <v>0.000112721417069223</v>
      </c>
      <c r="BP215" s="0" t="n">
        <f aca="false">IF($B$210=1,IF(OR(BS215&gt;=Settings!$B$5,Settings!$C$18&gt;0),MAX(0,MIN(1,(BS215/$C$210-(2*MAX(BL215,Settings!$C$18)-1))/2)),MIN(1,BS215/Settings!$B$5)),"")</f>
        <v>0</v>
      </c>
      <c r="BQ215" s="0" t="n">
        <f aca="false">IF(AND($B$210=1,COUNTIF(C215:BJ215,$C$210)&gt;0),1,0)</f>
        <v>1</v>
      </c>
      <c r="BR215" s="0" t="n">
        <f aca="false">IF(AND($B$210=1,COUNTIF(C215:BJ215,$D$210)&gt;0),1,0)</f>
        <v>0</v>
      </c>
      <c r="BS215" s="0" t="n">
        <f aca="false">N(IF(Polls!L29="",Polls!L37,Polls!L29))</f>
        <v>0.103333333333333</v>
      </c>
      <c r="BT215" s="0" t="str">
        <f aca="false">IF(OR(BS215&gt;=Settings!$B$5,Settings!$C$18&gt;0),"Next seat","Threshold")</f>
        <v>Next seat</v>
      </c>
    </row>
    <row r="216" customFormat="false" ht="15" hidden="false" customHeight="false" outlineLevel="0" collapsed="false">
      <c r="A216" s="0" t="s">
        <v>50</v>
      </c>
      <c r="B216" s="0" t="n">
        <f aca="false">IF(OR(BS216&gt;=Settings!$B$5,Settings!$C$19&gt;0),BS216,0)</f>
        <v>0.0145</v>
      </c>
      <c r="C216" s="0" t="n">
        <f aca="false">$B216/C$1</f>
        <v>0.0145</v>
      </c>
      <c r="D216" s="0" t="n">
        <f aca="false">$B216/D$1</f>
        <v>0.00483333333333333</v>
      </c>
      <c r="E216" s="0" t="n">
        <f aca="false">$B216/E$1</f>
        <v>0.0029</v>
      </c>
      <c r="F216" s="0" t="n">
        <f aca="false">$B216/F$1</f>
        <v>0.00207142857142857</v>
      </c>
      <c r="G216" s="0" t="n">
        <f aca="false">$B216/G$1</f>
        <v>0.00161111111111111</v>
      </c>
      <c r="H216" s="0" t="n">
        <f aca="false">$B216/H$1</f>
        <v>0.00131818181818182</v>
      </c>
      <c r="I216" s="0" t="n">
        <f aca="false">$B216/I$1</f>
        <v>0.00111538461538462</v>
      </c>
      <c r="J216" s="0" t="n">
        <f aca="false">$B216/J$1</f>
        <v>0.000966666666666667</v>
      </c>
      <c r="K216" s="0" t="n">
        <f aca="false">$B216/K$1</f>
        <v>0.000852941176470588</v>
      </c>
      <c r="L216" s="0" t="n">
        <f aca="false">$B216/L$1</f>
        <v>0.000763157894736842</v>
      </c>
      <c r="M216" s="0" t="n">
        <f aca="false">$B216/M$1</f>
        <v>0.000690476190476191</v>
      </c>
      <c r="N216" s="0" t="n">
        <f aca="false">$B216/N$1</f>
        <v>0.000630434782608696</v>
      </c>
      <c r="O216" s="0" t="n">
        <f aca="false">$B216/O$1</f>
        <v>0.00058</v>
      </c>
      <c r="P216" s="0" t="n">
        <f aca="false">$B216/P$1</f>
        <v>0.000537037037037037</v>
      </c>
      <c r="Q216" s="0" t="n">
        <f aca="false">$B216/Q$1</f>
        <v>0.0005</v>
      </c>
      <c r="R216" s="0" t="n">
        <f aca="false">$B216/R$1</f>
        <v>0.000467741935483871</v>
      </c>
      <c r="S216" s="0" t="n">
        <f aca="false">$B216/S$1</f>
        <v>0.000439393939393939</v>
      </c>
      <c r="T216" s="0" t="n">
        <f aca="false">$B216/T$1</f>
        <v>0.000414285714285714</v>
      </c>
      <c r="U216" s="0" t="n">
        <f aca="false">$B216/U$1</f>
        <v>0.000391891891891892</v>
      </c>
      <c r="V216" s="0" t="n">
        <f aca="false">$B216/V$1</f>
        <v>0.000371794871794872</v>
      </c>
      <c r="W216" s="0" t="n">
        <f aca="false">$B216/W$1</f>
        <v>0.000353658536585366</v>
      </c>
      <c r="X216" s="0" t="n">
        <f aca="false">$B216/X$1</f>
        <v>0.000337209302325581</v>
      </c>
      <c r="Y216" s="0" t="n">
        <f aca="false">$B216/Y$1</f>
        <v>0.000322222222222222</v>
      </c>
      <c r="Z216" s="0" t="n">
        <f aca="false">$B216/Z$1</f>
        <v>0.000308510638297872</v>
      </c>
      <c r="AA216" s="0" t="n">
        <f aca="false">$B216/AA$1</f>
        <v>0.000295918367346939</v>
      </c>
      <c r="AB216" s="0" t="n">
        <f aca="false">$B216/AB$1</f>
        <v>0.000284313725490196</v>
      </c>
      <c r="AC216" s="0" t="n">
        <f aca="false">$B216/AC$1</f>
        <v>0.000273584905660377</v>
      </c>
      <c r="AD216" s="0" t="n">
        <f aca="false">$B216/AD$1</f>
        <v>0.000263636363636364</v>
      </c>
      <c r="AE216" s="0" t="n">
        <f aca="false">$B216/AE$1</f>
        <v>0.000254385964912281</v>
      </c>
      <c r="AF216" s="0" t="n">
        <f aca="false">$B216/AF$1</f>
        <v>0.000245762711864407</v>
      </c>
      <c r="AG216" s="0" t="n">
        <f aca="false">$B216/AG$1</f>
        <v>0.000237704918032787</v>
      </c>
      <c r="AH216" s="0" t="n">
        <f aca="false">$B216/AH$1</f>
        <v>0.00023015873015873</v>
      </c>
      <c r="AI216" s="0" t="n">
        <f aca="false">$B216/AI$1</f>
        <v>0.000223076923076923</v>
      </c>
      <c r="AJ216" s="0" t="n">
        <f aca="false">$B216/AJ$1</f>
        <v>0.000216417910447761</v>
      </c>
      <c r="AK216" s="0" t="n">
        <f aca="false">$B216/AK$1</f>
        <v>0.000210144927536232</v>
      </c>
      <c r="AL216" s="0" t="n">
        <f aca="false">$B216/AL$1</f>
        <v>0.000204225352112676</v>
      </c>
      <c r="AM216" s="0" t="n">
        <f aca="false">$B216/AM$1</f>
        <v>0.000198630136986301</v>
      </c>
      <c r="AN216" s="0" t="n">
        <f aca="false">$B216/AN$1</f>
        <v>0.000193333333333333</v>
      </c>
      <c r="AO216" s="0" t="n">
        <f aca="false">$B216/AO$1</f>
        <v>0.000188311688311688</v>
      </c>
      <c r="AP216" s="0" t="n">
        <f aca="false">$B216/AP$1</f>
        <v>0.000183544303797468</v>
      </c>
      <c r="AQ216" s="0" t="n">
        <f aca="false">$B216/AQ$1</f>
        <v>0.000179012345679012</v>
      </c>
      <c r="AR216" s="0" t="n">
        <f aca="false">$B216/AR$1</f>
        <v>0.000174698795180723</v>
      </c>
      <c r="AS216" s="0" t="n">
        <f aca="false">$B216/AS$1</f>
        <v>0.000170588235294118</v>
      </c>
      <c r="AT216" s="0" t="n">
        <f aca="false">$B216/AT$1</f>
        <v>0.000166666666666667</v>
      </c>
      <c r="AU216" s="0" t="n">
        <f aca="false">$B216/AU$1</f>
        <v>0.000162921348314607</v>
      </c>
      <c r="AV216" s="0" t="n">
        <f aca="false">$B216/AV$1</f>
        <v>0.000159340659340659</v>
      </c>
      <c r="AW216" s="0" t="n">
        <f aca="false">$B216/AW$1</f>
        <v>0.000155913978494624</v>
      </c>
      <c r="AX216" s="0" t="n">
        <f aca="false">$B216/AX$1</f>
        <v>0.000152631578947368</v>
      </c>
      <c r="AY216" s="0" t="n">
        <f aca="false">$B216/AY$1</f>
        <v>0.000149484536082474</v>
      </c>
      <c r="AZ216" s="0" t="n">
        <f aca="false">$B216/AZ$1</f>
        <v>0.000146464646464646</v>
      </c>
      <c r="BA216" s="0" t="n">
        <f aca="false">$B216/BA$1</f>
        <v>0.000143564356435644</v>
      </c>
      <c r="BB216" s="0" t="n">
        <f aca="false">$B216/BB$1</f>
        <v>0.000140776699029126</v>
      </c>
      <c r="BC216" s="0" t="n">
        <f aca="false">$B216/BC$1</f>
        <v>0.000138095238095238</v>
      </c>
      <c r="BD216" s="0" t="n">
        <f aca="false">$B216/BD$1</f>
        <v>0.000135514018691589</v>
      </c>
      <c r="BE216" s="0" t="n">
        <f aca="false">$B216/BE$1</f>
        <v>0.00013302752293578</v>
      </c>
      <c r="BF216" s="0" t="n">
        <f aca="false">$B216/BF$1</f>
        <v>0.000130630630630631</v>
      </c>
      <c r="BG216" s="0" t="n">
        <f aca="false">$B216/BG$1</f>
        <v>0.000128318584070796</v>
      </c>
      <c r="BH216" s="0" t="n">
        <f aca="false">$B216/BH$1</f>
        <v>0.000126086956521739</v>
      </c>
      <c r="BI216" s="0" t="n">
        <f aca="false">$B216/BI$1</f>
        <v>0.000123931623931624</v>
      </c>
      <c r="BJ216" s="0" t="n">
        <f aca="false">$B216/BJ$1</f>
        <v>0.000121848739495798</v>
      </c>
      <c r="BL216" s="0" t="n">
        <f aca="false">IF($B$210=1,COUNTIF(C216:BJ216,"&gt;="&amp;$C$210),0)</f>
        <v>2</v>
      </c>
      <c r="BM216" s="0" t="n">
        <f aca="false">IF($B$210=1,IF(OR(BS216&gt;=Settings!$B$5,Settings!$C$19&gt;0),MAX(BL216,Settings!$C$19),0),0)</f>
        <v>4</v>
      </c>
      <c r="BN216" s="0" t="n">
        <f aca="false">IF($B$210=1,IF(OR(BS216&gt;=Settings!$B$5,Settings!$C$19&gt;0),MAX(0,(2*MAX(BL216,Settings!$C$19)+1)*$C$210-BS216),MAX(0,Settings!$B$5-BS216)),"")</f>
        <v>0.0227</v>
      </c>
      <c r="BO216" s="0" t="str">
        <f aca="false">IF($B$210=1,IF(OR(BS216&gt;=Settings!$B$5,Settings!$C$19&gt;0),IF(BL216&lt;=Settings!$C$19,"Protected by electorates",IF(Settings!$C$19=0,MIN(BS216-(2*BL216-1)*$D$210,BS216-Settings!$B$5),BS216-(2*BL216-1)*$D$210)),""),"")</f>
        <v>Protected by electorates</v>
      </c>
      <c r="BP216" s="0" t="n">
        <f aca="false">IF($B$210=1,IF(OR(BS216&gt;=Settings!$B$5,Settings!$C$19&gt;0),MAX(0,MIN(1,(BS216/$C$210-(2*MAX(BL216,Settings!$C$19)-1))/2)),MIN(1,BS216/Settings!$B$5)),"")</f>
        <v>0</v>
      </c>
      <c r="BQ216" s="0" t="n">
        <f aca="false">IF(AND($B$210=1,COUNTIF(C216:BJ216,$C$210)&gt;0),1,0)</f>
        <v>0</v>
      </c>
      <c r="BR216" s="0" t="n">
        <f aca="false">IF(AND($B$210=1,COUNTIF(C216:BJ216,$D$210)&gt;0),1,0)</f>
        <v>0</v>
      </c>
      <c r="BS216" s="0" t="n">
        <f aca="false">N(IF(Polls!M29="",Polls!M37,Polls!M29))</f>
        <v>0.0145</v>
      </c>
      <c r="BT216" s="0" t="str">
        <f aca="false">IF(OR(BS216&gt;=Settings!$B$5,Settings!$C$19&gt;0),"Next seat","Threshold")</f>
        <v>Next seat</v>
      </c>
    </row>
    <row r="217" customFormat="false" ht="15" hidden="false" customHeight="false" outlineLevel="0" collapsed="false">
      <c r="A217" s="0" t="s">
        <v>52</v>
      </c>
      <c r="B217" s="0" t="n">
        <f aca="false">IF(OR(BS217&gt;=Settings!$B$5,Settings!$C$20&gt;0),BS217,0)</f>
        <v>0.0614444444444445</v>
      </c>
      <c r="C217" s="0" t="n">
        <f aca="false">$B217/C$1</f>
        <v>0.0614444444444445</v>
      </c>
      <c r="D217" s="0" t="n">
        <f aca="false">$B217/D$1</f>
        <v>0.0204814814814815</v>
      </c>
      <c r="E217" s="0" t="n">
        <f aca="false">$B217/E$1</f>
        <v>0.0122888888888889</v>
      </c>
      <c r="F217" s="0" t="n">
        <f aca="false">$B217/F$1</f>
        <v>0.00877777777777778</v>
      </c>
      <c r="G217" s="0" t="n">
        <f aca="false">$B217/G$1</f>
        <v>0.00682716049382716</v>
      </c>
      <c r="H217" s="0" t="n">
        <f aca="false">$B217/H$1</f>
        <v>0.00558585858585859</v>
      </c>
      <c r="I217" s="0" t="n">
        <f aca="false">$B217/I$1</f>
        <v>0.00472649572649573</v>
      </c>
      <c r="J217" s="0" t="n">
        <f aca="false">$B217/J$1</f>
        <v>0.0040962962962963</v>
      </c>
      <c r="K217" s="0" t="n">
        <f aca="false">$B217/K$1</f>
        <v>0.00361437908496732</v>
      </c>
      <c r="L217" s="0" t="n">
        <f aca="false">$B217/L$1</f>
        <v>0.00323391812865497</v>
      </c>
      <c r="M217" s="0" t="n">
        <f aca="false">$B217/M$1</f>
        <v>0.00292592592592593</v>
      </c>
      <c r="N217" s="0" t="n">
        <f aca="false">$B217/N$1</f>
        <v>0.00267149758454106</v>
      </c>
      <c r="O217" s="0" t="n">
        <f aca="false">$B217/O$1</f>
        <v>0.00245777777777778</v>
      </c>
      <c r="P217" s="0" t="n">
        <f aca="false">$B217/P$1</f>
        <v>0.00227572016460905</v>
      </c>
      <c r="Q217" s="0" t="n">
        <f aca="false">$B217/Q$1</f>
        <v>0.00211877394636015</v>
      </c>
      <c r="R217" s="0" t="n">
        <f aca="false">$B217/R$1</f>
        <v>0.0019820788530466</v>
      </c>
      <c r="S217" s="0" t="n">
        <f aca="false">$B217/S$1</f>
        <v>0.00186195286195286</v>
      </c>
      <c r="T217" s="0" t="n">
        <f aca="false">$B217/T$1</f>
        <v>0.00175555555555556</v>
      </c>
      <c r="U217" s="0" t="n">
        <f aca="false">$B217/U$1</f>
        <v>0.00166066066066066</v>
      </c>
      <c r="V217" s="0" t="n">
        <f aca="false">$B217/V$1</f>
        <v>0.00157549857549858</v>
      </c>
      <c r="W217" s="0" t="n">
        <f aca="false">$B217/W$1</f>
        <v>0.00149864498644986</v>
      </c>
      <c r="X217" s="0" t="n">
        <f aca="false">$B217/X$1</f>
        <v>0.00142894056847545</v>
      </c>
      <c r="Y217" s="0" t="n">
        <f aca="false">$B217/Y$1</f>
        <v>0.00136543209876543</v>
      </c>
      <c r="Z217" s="0" t="n">
        <f aca="false">$B217/Z$1</f>
        <v>0.00130732860520095</v>
      </c>
      <c r="AA217" s="0" t="n">
        <f aca="false">$B217/AA$1</f>
        <v>0.00125396825396825</v>
      </c>
      <c r="AB217" s="0" t="n">
        <f aca="false">$B217/AB$1</f>
        <v>0.00120479302832244</v>
      </c>
      <c r="AC217" s="0" t="n">
        <f aca="false">$B217/AC$1</f>
        <v>0.00115932914046122</v>
      </c>
      <c r="AD217" s="0" t="n">
        <f aca="false">$B217/AD$1</f>
        <v>0.00111717171717172</v>
      </c>
      <c r="AE217" s="0" t="n">
        <f aca="false">$B217/AE$1</f>
        <v>0.00107797270955166</v>
      </c>
      <c r="AF217" s="0" t="n">
        <f aca="false">$B217/AF$1</f>
        <v>0.00104143126177024</v>
      </c>
      <c r="AG217" s="0" t="n">
        <f aca="false">$B217/AG$1</f>
        <v>0.00100728597449909</v>
      </c>
      <c r="AH217" s="0" t="n">
        <f aca="false">$B217/AH$1</f>
        <v>0.000975308641975309</v>
      </c>
      <c r="AI217" s="0" t="n">
        <f aca="false">$B217/AI$1</f>
        <v>0.000945299145299145</v>
      </c>
      <c r="AJ217" s="0" t="n">
        <f aca="false">$B217/AJ$1</f>
        <v>0.000917081260364843</v>
      </c>
      <c r="AK217" s="0" t="n">
        <f aca="false">$B217/AK$1</f>
        <v>0.000890499194847021</v>
      </c>
      <c r="AL217" s="0" t="n">
        <f aca="false">$B217/AL$1</f>
        <v>0.000865414710485133</v>
      </c>
      <c r="AM217" s="0" t="n">
        <f aca="false">$B217/AM$1</f>
        <v>0.000841704718417047</v>
      </c>
      <c r="AN217" s="0" t="n">
        <f aca="false">$B217/AN$1</f>
        <v>0.000819259259259259</v>
      </c>
      <c r="AO217" s="0" t="n">
        <f aca="false">$B217/AO$1</f>
        <v>0.000797979797979798</v>
      </c>
      <c r="AP217" s="0" t="n">
        <f aca="false">$B217/AP$1</f>
        <v>0.000777777777777778</v>
      </c>
      <c r="AQ217" s="0" t="n">
        <f aca="false">$B217/AQ$1</f>
        <v>0.000758573388203018</v>
      </c>
      <c r="AR217" s="0" t="n">
        <f aca="false">$B217/AR$1</f>
        <v>0.000740294511378849</v>
      </c>
      <c r="AS217" s="0" t="n">
        <f aca="false">$B217/AS$1</f>
        <v>0.000722875816993464</v>
      </c>
      <c r="AT217" s="0" t="n">
        <f aca="false">$B217/AT$1</f>
        <v>0.000706257982120051</v>
      </c>
      <c r="AU217" s="0" t="n">
        <f aca="false">$B217/AU$1</f>
        <v>0.000690387016229713</v>
      </c>
      <c r="AV217" s="0" t="n">
        <f aca="false">$B217/AV$1</f>
        <v>0.000675213675213675</v>
      </c>
      <c r="AW217" s="0" t="n">
        <f aca="false">$B217/AW$1</f>
        <v>0.000660692951015532</v>
      </c>
      <c r="AX217" s="0" t="n">
        <f aca="false">$B217/AX$1</f>
        <v>0.000646783625730994</v>
      </c>
      <c r="AY217" s="0" t="n">
        <f aca="false">$B217/AY$1</f>
        <v>0.000633447880870561</v>
      </c>
      <c r="AZ217" s="0" t="n">
        <f aca="false">$B217/AZ$1</f>
        <v>0.000620650953984287</v>
      </c>
      <c r="BA217" s="0" t="n">
        <f aca="false">$B217/BA$1</f>
        <v>0.000608360836083608</v>
      </c>
      <c r="BB217" s="0" t="n">
        <f aca="false">$B217/BB$1</f>
        <v>0.000596548004314995</v>
      </c>
      <c r="BC217" s="0" t="n">
        <f aca="false">$B217/BC$1</f>
        <v>0.000585185185185185</v>
      </c>
      <c r="BD217" s="0" t="n">
        <f aca="false">$B217/BD$1</f>
        <v>0.000574247144340602</v>
      </c>
      <c r="BE217" s="0" t="n">
        <f aca="false">$B217/BE$1</f>
        <v>0.000563710499490316</v>
      </c>
      <c r="BF217" s="0" t="n">
        <f aca="false">$B217/BF$1</f>
        <v>0.000553553553553554</v>
      </c>
      <c r="BG217" s="0" t="n">
        <f aca="false">$B217/BG$1</f>
        <v>0.000543756145526057</v>
      </c>
      <c r="BH217" s="0" t="n">
        <f aca="false">$B217/BH$1</f>
        <v>0.000534299516908213</v>
      </c>
      <c r="BI217" s="0" t="n">
        <f aca="false">$B217/BI$1</f>
        <v>0.000525166191832859</v>
      </c>
      <c r="BJ217" s="0" t="n">
        <f aca="false">$B217/BJ$1</f>
        <v>0.000516339869281046</v>
      </c>
      <c r="BL217" s="0" t="n">
        <f aca="false">IF($B$210=1,COUNTIF(C217:BJ217,"&gt;="&amp;$C$210),0)</f>
        <v>7</v>
      </c>
      <c r="BM217" s="0" t="n">
        <f aca="false">IF($B$210=1,IF(OR(BS217&gt;=Settings!$B$5,Settings!$C$20&gt;0),MAX(BL217,Settings!$C$20),0),0)</f>
        <v>7</v>
      </c>
      <c r="BN217" s="0" t="n">
        <f aca="false">IF($B$210=1,IF(OR(BS217&gt;=Settings!$B$5,Settings!$C$20&gt;0),MAX(0,(2*MAX(BL217,Settings!$C$20)+1)*$C$210-BS217),MAX(0,Settings!$B$5-BS217)),"")</f>
        <v>0.000555555555555552</v>
      </c>
      <c r="BO217" s="0" t="n">
        <f aca="false">IF($B$210=1,IF(OR(BS217&gt;=Settings!$B$5,Settings!$C$20&gt;0),IF(BL217&lt;=Settings!$C$20,"Protected by electorates",IF(Settings!$C$20=0,MIN(BS217-(2*BL217-1)*$D$210,BS217-Settings!$B$5),BS217-(2*BL217-1)*$D$210)),""),"")</f>
        <v>0.00776972624798712</v>
      </c>
      <c r="BP217" s="0" t="n">
        <f aca="false">IF($B$210=1,IF(OR(BS217&gt;=Settings!$B$5,Settings!$C$20&gt;0),MAX(0,MIN(1,(BS217/$C$210-(2*MAX(BL217,Settings!$C$20)-1))/2)),MIN(1,BS217/Settings!$B$5)),"")</f>
        <v>0.932795698924731</v>
      </c>
      <c r="BQ217" s="0" t="n">
        <f aca="false">IF(AND($B$210=1,COUNTIF(C217:BJ217,$C$210)&gt;0),1,0)</f>
        <v>0</v>
      </c>
      <c r="BR217" s="0" t="n">
        <f aca="false">IF(AND($B$210=1,COUNTIF(C217:BJ217,$D$210)&gt;0),1,0)</f>
        <v>0</v>
      </c>
      <c r="BS217" s="0" t="n">
        <f aca="false">N(IF(Polls!N29="",Polls!N37,Polls!N29))</f>
        <v>0.0614444444444445</v>
      </c>
      <c r="BT217" s="0" t="str">
        <f aca="false">IF(OR(BS217&gt;=Settings!$B$5,Settings!$C$20&gt;0),"Next seat","Threshold")</f>
        <v>Next seat</v>
      </c>
    </row>
    <row r="219" customFormat="false" ht="15" hidden="false" customHeight="false" outlineLevel="0" collapsed="false">
      <c r="A219" s="41" t="n">
        <f aca="false">Polls!A30</f>
        <v>0</v>
      </c>
      <c r="B219" s="17" t="n">
        <f aca="false">IF(SUM(BS220:BS226)&gt;0,1,0)</f>
        <v>1</v>
      </c>
      <c r="C219" s="17" t="n">
        <f aca="false">IF(B219=1,LARGE(C220:BJ226,Settings!$B$4),0)</f>
        <v>0.00413333333333333</v>
      </c>
      <c r="D219" s="17" t="n">
        <f aca="false">IF(B219=1,LARGE(C220:BJ226,Settings!$B$4+1),0)</f>
        <v>0.00412882447665056</v>
      </c>
      <c r="E219" s="0" t="str">
        <f aca="false">IF(B219=1,IFERROR(INDEX(A220:A226,MATCH(1,BQ220:BQ226,0)),""),"")</f>
        <v>NZF</v>
      </c>
      <c r="F219" s="0" t="str">
        <f aca="false">IF(B219=1,IFERROR(INDEX(A220:A226,MATCH(1,BR220:BR226,0)),""),"")</f>
        <v>NAT</v>
      </c>
      <c r="G219" s="17" t="n">
        <f aca="false">IF(B219=1,SUM(BM220:BM226)+Settings!$B$10,"")</f>
        <v>122</v>
      </c>
    </row>
    <row r="220" customFormat="false" ht="15" hidden="false" customHeight="false" outlineLevel="0" collapsed="false">
      <c r="A220" s="0" t="s">
        <v>41</v>
      </c>
      <c r="B220" s="0" t="n">
        <f aca="false">IF(OR(BS220&gt;=Settings!$B$5,Settings!$C$14&gt;0),BS220,0)</f>
        <v>0.284888888888889</v>
      </c>
      <c r="C220" s="0" t="n">
        <f aca="false">$B220/C$1</f>
        <v>0.284888888888889</v>
      </c>
      <c r="D220" s="0" t="n">
        <f aca="false">$B220/D$1</f>
        <v>0.094962962962963</v>
      </c>
      <c r="E220" s="0" t="n">
        <f aca="false">$B220/E$1</f>
        <v>0.0569777777777778</v>
      </c>
      <c r="F220" s="0" t="n">
        <f aca="false">$B220/F$1</f>
        <v>0.0406984126984127</v>
      </c>
      <c r="G220" s="0" t="n">
        <f aca="false">$B220/G$1</f>
        <v>0.0316543209876543</v>
      </c>
      <c r="H220" s="0" t="n">
        <f aca="false">$B220/H$1</f>
        <v>0.0258989898989899</v>
      </c>
      <c r="I220" s="0" t="n">
        <f aca="false">$B220/I$1</f>
        <v>0.0219145299145299</v>
      </c>
      <c r="J220" s="0" t="n">
        <f aca="false">$B220/J$1</f>
        <v>0.0189925925925926</v>
      </c>
      <c r="K220" s="0" t="n">
        <f aca="false">$B220/K$1</f>
        <v>0.0167581699346405</v>
      </c>
      <c r="L220" s="0" t="n">
        <f aca="false">$B220/L$1</f>
        <v>0.0149941520467836</v>
      </c>
      <c r="M220" s="0" t="n">
        <f aca="false">$B220/M$1</f>
        <v>0.0135661375661376</v>
      </c>
      <c r="N220" s="0" t="n">
        <f aca="false">$B220/N$1</f>
        <v>0.0123864734299517</v>
      </c>
      <c r="O220" s="0" t="n">
        <f aca="false">$B220/O$1</f>
        <v>0.0113955555555556</v>
      </c>
      <c r="P220" s="0" t="n">
        <f aca="false">$B220/P$1</f>
        <v>0.0105514403292181</v>
      </c>
      <c r="Q220" s="0" t="n">
        <f aca="false">$B220/Q$1</f>
        <v>0.00982375478927203</v>
      </c>
      <c r="R220" s="0" t="n">
        <f aca="false">$B220/R$1</f>
        <v>0.0091899641577061</v>
      </c>
      <c r="S220" s="0" t="n">
        <f aca="false">$B220/S$1</f>
        <v>0.00863299663299663</v>
      </c>
      <c r="T220" s="0" t="n">
        <f aca="false">$B220/T$1</f>
        <v>0.00813968253968254</v>
      </c>
      <c r="U220" s="0" t="n">
        <f aca="false">$B220/U$1</f>
        <v>0.0076996996996997</v>
      </c>
      <c r="V220" s="0" t="n">
        <f aca="false">$B220/V$1</f>
        <v>0.00730484330484331</v>
      </c>
      <c r="W220" s="0" t="n">
        <f aca="false">$B220/W$1</f>
        <v>0.00694850948509485</v>
      </c>
      <c r="X220" s="0" t="n">
        <f aca="false">$B220/X$1</f>
        <v>0.00662532299741602</v>
      </c>
      <c r="Y220" s="0" t="n">
        <f aca="false">$B220/Y$1</f>
        <v>0.00633086419753086</v>
      </c>
      <c r="Z220" s="0" t="n">
        <f aca="false">$B220/Z$1</f>
        <v>0.00606146572104019</v>
      </c>
      <c r="AA220" s="0" t="n">
        <f aca="false">$B220/AA$1</f>
        <v>0.0058140589569161</v>
      </c>
      <c r="AB220" s="0" t="n">
        <f aca="false">$B220/AB$1</f>
        <v>0.00558605664488018</v>
      </c>
      <c r="AC220" s="0" t="n">
        <f aca="false">$B220/AC$1</f>
        <v>0.00537526205450734</v>
      </c>
      <c r="AD220" s="0" t="n">
        <f aca="false">$B220/AD$1</f>
        <v>0.00517979797979798</v>
      </c>
      <c r="AE220" s="0" t="n">
        <f aca="false">$B220/AE$1</f>
        <v>0.00499805068226121</v>
      </c>
      <c r="AF220" s="0" t="n">
        <f aca="false">$B220/AF$1</f>
        <v>0.0048286252354049</v>
      </c>
      <c r="AG220" s="0" t="n">
        <f aca="false">$B220/AG$1</f>
        <v>0.00467030965391621</v>
      </c>
      <c r="AH220" s="0" t="n">
        <f aca="false">$B220/AH$1</f>
        <v>0.00452204585537919</v>
      </c>
      <c r="AI220" s="0" t="n">
        <f aca="false">$B220/AI$1</f>
        <v>0.00438290598290598</v>
      </c>
      <c r="AJ220" s="0" t="n">
        <f aca="false">$B220/AJ$1</f>
        <v>0.00425207296849088</v>
      </c>
      <c r="AK220" s="0" t="n">
        <f aca="false">$B220/AK$1</f>
        <v>0.00412882447665056</v>
      </c>
      <c r="AL220" s="0" t="n">
        <f aca="false">$B220/AL$1</f>
        <v>0.00401251956181534</v>
      </c>
      <c r="AM220" s="0" t="n">
        <f aca="false">$B220/AM$1</f>
        <v>0.00390258751902588</v>
      </c>
      <c r="AN220" s="0" t="n">
        <f aca="false">$B220/AN$1</f>
        <v>0.00379851851851852</v>
      </c>
      <c r="AO220" s="0" t="n">
        <f aca="false">$B220/AO$1</f>
        <v>0.0036998556998557</v>
      </c>
      <c r="AP220" s="0" t="n">
        <f aca="false">$B220/AP$1</f>
        <v>0.00360618846694796</v>
      </c>
      <c r="AQ220" s="0" t="n">
        <f aca="false">$B220/AQ$1</f>
        <v>0.00351714677640604</v>
      </c>
      <c r="AR220" s="0" t="n">
        <f aca="false">$B220/AR$1</f>
        <v>0.00343239625167336</v>
      </c>
      <c r="AS220" s="0" t="n">
        <f aca="false">$B220/AS$1</f>
        <v>0.00335163398692811</v>
      </c>
      <c r="AT220" s="0" t="n">
        <f aca="false">$B220/AT$1</f>
        <v>0.00327458492975734</v>
      </c>
      <c r="AU220" s="0" t="n">
        <f aca="false">$B220/AU$1</f>
        <v>0.00320099875156055</v>
      </c>
      <c r="AV220" s="0" t="n">
        <f aca="false">$B220/AV$1</f>
        <v>0.00313064713064713</v>
      </c>
      <c r="AW220" s="0" t="n">
        <f aca="false">$B220/AW$1</f>
        <v>0.00306332138590203</v>
      </c>
      <c r="AX220" s="0" t="n">
        <f aca="false">$B220/AX$1</f>
        <v>0.00299883040935673</v>
      </c>
      <c r="AY220" s="0" t="n">
        <f aca="false">$B220/AY$1</f>
        <v>0.00293699885452463</v>
      </c>
      <c r="AZ220" s="0" t="n">
        <f aca="false">$B220/AZ$1</f>
        <v>0.00287766554433221</v>
      </c>
      <c r="BA220" s="0" t="n">
        <f aca="false">$B220/BA$1</f>
        <v>0.00282068206820682</v>
      </c>
      <c r="BB220" s="0" t="n">
        <f aca="false">$B220/BB$1</f>
        <v>0.00276591154261057</v>
      </c>
      <c r="BC220" s="0" t="n">
        <f aca="false">$B220/BC$1</f>
        <v>0.00271322751322751</v>
      </c>
      <c r="BD220" s="0" t="n">
        <f aca="false">$B220/BD$1</f>
        <v>0.00266251298026999</v>
      </c>
      <c r="BE220" s="0" t="n">
        <f aca="false">$B220/BE$1</f>
        <v>0.00261365953109072</v>
      </c>
      <c r="BF220" s="0" t="n">
        <f aca="false">$B220/BF$1</f>
        <v>0.00256656656656657</v>
      </c>
      <c r="BG220" s="0" t="n">
        <f aca="false">$B220/BG$1</f>
        <v>0.00252114060963619</v>
      </c>
      <c r="BH220" s="0" t="n">
        <f aca="false">$B220/BH$1</f>
        <v>0.00247729468599034</v>
      </c>
      <c r="BI220" s="0" t="n">
        <f aca="false">$B220/BI$1</f>
        <v>0.0024349477682811</v>
      </c>
      <c r="BJ220" s="0" t="n">
        <f aca="false">$B220/BJ$1</f>
        <v>0.00239402427637722</v>
      </c>
      <c r="BL220" s="0" t="n">
        <f aca="false">IF($B$219=1,COUNTIF(C220:BJ220,"&gt;="&amp;$C$219),0)</f>
        <v>34</v>
      </c>
      <c r="BM220" s="0" t="n">
        <f aca="false">IF($B$219=1,IF(OR(BS220&gt;=Settings!$B$5,Settings!$C$14&gt;0),MAX(BL220,Settings!$C$14),0),0)</f>
        <v>34</v>
      </c>
      <c r="BN220" s="0" t="n">
        <f aca="false">IF($B$219=1,IF(OR(BS220&gt;=Settings!$B$5,Settings!$C$14&gt;0),MAX(0,(2*MAX(BL220,Settings!$C$14)+1)*$C$219-BS220),MAX(0,Settings!$B$5-BS220)),"")</f>
        <v>0.000311111111111095</v>
      </c>
      <c r="BO220" s="0" t="n">
        <f aca="false">IF($B$219=1,IF(OR(BS220&gt;=Settings!$B$5,Settings!$C$14&gt;0),IF(BL220&lt;=Settings!$C$14,"Protected by electorates",IF(Settings!$C$14=0,MIN(BS220-(2*BL220-1)*$D$219,BS220-Settings!$B$5),BS220-(2*BL220-1)*$D$219)),""),"")</f>
        <v>0.00825764895330111</v>
      </c>
      <c r="BP220" s="0" t="n">
        <f aca="false">IF($B$219=1,IF(OR(BS220&gt;=Settings!$B$5,Settings!$C$14&gt;0),MAX(0,MIN(1,(BS220/$C$219-(2*MAX(BL220,Settings!$C$14)-1))/2)),MIN(1,BS220/Settings!$B$5)),"")</f>
        <v>0.962365591397848</v>
      </c>
      <c r="BQ220" s="0" t="n">
        <f aca="false">IF(AND($B$219=1,COUNTIF(C220:BJ220,$C$219)&gt;0),1,0)</f>
        <v>0</v>
      </c>
      <c r="BR220" s="0" t="n">
        <f aca="false">IF(AND($B$219=1,COUNTIF(C220:BJ220,$D$219)&gt;0),1,0)</f>
        <v>1</v>
      </c>
      <c r="BS220" s="0" t="n">
        <f aca="false">N(IF(Polls!H30="",Polls!H37,Polls!H30))</f>
        <v>0.284888888888889</v>
      </c>
      <c r="BT220" s="0" t="str">
        <f aca="false">IF(OR(BS220&gt;=Settings!$B$5,Settings!$C$14&gt;0),"Next seat","Threshold")</f>
        <v>Next seat</v>
      </c>
    </row>
    <row r="221" customFormat="false" ht="15" hidden="false" customHeight="false" outlineLevel="0" collapsed="false">
      <c r="A221" s="0" t="s">
        <v>43</v>
      </c>
      <c r="B221" s="0" t="n">
        <f aca="false">IF(OR(BS221&gt;=Settings!$B$5,Settings!$C$15&gt;0),BS221,0)</f>
        <v>0.279333333333333</v>
      </c>
      <c r="C221" s="0" t="n">
        <f aca="false">$B221/C$1</f>
        <v>0.279333333333333</v>
      </c>
      <c r="D221" s="0" t="n">
        <f aca="false">$B221/D$1</f>
        <v>0.0931111111111111</v>
      </c>
      <c r="E221" s="0" t="n">
        <f aca="false">$B221/E$1</f>
        <v>0.0558666666666667</v>
      </c>
      <c r="F221" s="0" t="n">
        <f aca="false">$B221/F$1</f>
        <v>0.0399047619047619</v>
      </c>
      <c r="G221" s="0" t="n">
        <f aca="false">$B221/G$1</f>
        <v>0.031037037037037</v>
      </c>
      <c r="H221" s="0" t="n">
        <f aca="false">$B221/H$1</f>
        <v>0.0253939393939394</v>
      </c>
      <c r="I221" s="0" t="n">
        <f aca="false">$B221/I$1</f>
        <v>0.0214871794871795</v>
      </c>
      <c r="J221" s="0" t="n">
        <f aca="false">$B221/J$1</f>
        <v>0.0186222222222222</v>
      </c>
      <c r="K221" s="0" t="n">
        <f aca="false">$B221/K$1</f>
        <v>0.0164313725490196</v>
      </c>
      <c r="L221" s="0" t="n">
        <f aca="false">$B221/L$1</f>
        <v>0.0147017543859649</v>
      </c>
      <c r="M221" s="0" t="n">
        <f aca="false">$B221/M$1</f>
        <v>0.0133015873015873</v>
      </c>
      <c r="N221" s="0" t="n">
        <f aca="false">$B221/N$1</f>
        <v>0.0121449275362319</v>
      </c>
      <c r="O221" s="0" t="n">
        <f aca="false">$B221/O$1</f>
        <v>0.0111733333333333</v>
      </c>
      <c r="P221" s="0" t="n">
        <f aca="false">$B221/P$1</f>
        <v>0.0103456790123457</v>
      </c>
      <c r="Q221" s="0" t="n">
        <f aca="false">$B221/Q$1</f>
        <v>0.00963218390804598</v>
      </c>
      <c r="R221" s="0" t="n">
        <f aca="false">$B221/R$1</f>
        <v>0.00901075268817204</v>
      </c>
      <c r="S221" s="0" t="n">
        <f aca="false">$B221/S$1</f>
        <v>0.00846464646464647</v>
      </c>
      <c r="T221" s="0" t="n">
        <f aca="false">$B221/T$1</f>
        <v>0.00798095238095238</v>
      </c>
      <c r="U221" s="0" t="n">
        <f aca="false">$B221/U$1</f>
        <v>0.00754954954954955</v>
      </c>
      <c r="V221" s="0" t="n">
        <f aca="false">$B221/V$1</f>
        <v>0.00716239316239316</v>
      </c>
      <c r="W221" s="0" t="n">
        <f aca="false">$B221/W$1</f>
        <v>0.0068130081300813</v>
      </c>
      <c r="X221" s="0" t="n">
        <f aca="false">$B221/X$1</f>
        <v>0.00649612403100775</v>
      </c>
      <c r="Y221" s="0" t="n">
        <f aca="false">$B221/Y$1</f>
        <v>0.00620740740740741</v>
      </c>
      <c r="Z221" s="0" t="n">
        <f aca="false">$B221/Z$1</f>
        <v>0.00594326241134752</v>
      </c>
      <c r="AA221" s="0" t="n">
        <f aca="false">$B221/AA$1</f>
        <v>0.00570068027210885</v>
      </c>
      <c r="AB221" s="0" t="n">
        <f aca="false">$B221/AB$1</f>
        <v>0.00547712418300654</v>
      </c>
      <c r="AC221" s="0" t="n">
        <f aca="false">$B221/AC$1</f>
        <v>0.00527044025157233</v>
      </c>
      <c r="AD221" s="0" t="n">
        <f aca="false">$B221/AD$1</f>
        <v>0.00507878787878788</v>
      </c>
      <c r="AE221" s="0" t="n">
        <f aca="false">$B221/AE$1</f>
        <v>0.00490058479532164</v>
      </c>
      <c r="AF221" s="0" t="n">
        <f aca="false">$B221/AF$1</f>
        <v>0.00473446327683616</v>
      </c>
      <c r="AG221" s="0" t="n">
        <f aca="false">$B221/AG$1</f>
        <v>0.0045792349726776</v>
      </c>
      <c r="AH221" s="0" t="n">
        <f aca="false">$B221/AH$1</f>
        <v>0.00443386243386244</v>
      </c>
      <c r="AI221" s="0" t="n">
        <f aca="false">$B221/AI$1</f>
        <v>0.0042974358974359</v>
      </c>
      <c r="AJ221" s="0" t="n">
        <f aca="false">$B221/AJ$1</f>
        <v>0.00416915422885572</v>
      </c>
      <c r="AK221" s="0" t="n">
        <f aca="false">$B221/AK$1</f>
        <v>0.00404830917874396</v>
      </c>
      <c r="AL221" s="0" t="n">
        <f aca="false">$B221/AL$1</f>
        <v>0.00393427230046948</v>
      </c>
      <c r="AM221" s="0" t="n">
        <f aca="false">$B221/AM$1</f>
        <v>0.00382648401826484</v>
      </c>
      <c r="AN221" s="0" t="n">
        <f aca="false">$B221/AN$1</f>
        <v>0.00372444444444445</v>
      </c>
      <c r="AO221" s="0" t="n">
        <f aca="false">$B221/AO$1</f>
        <v>0.00362770562770563</v>
      </c>
      <c r="AP221" s="0" t="n">
        <f aca="false">$B221/AP$1</f>
        <v>0.00353586497890295</v>
      </c>
      <c r="AQ221" s="0" t="n">
        <f aca="false">$B221/AQ$1</f>
        <v>0.00344855967078189</v>
      </c>
      <c r="AR221" s="0" t="n">
        <f aca="false">$B221/AR$1</f>
        <v>0.00336546184738956</v>
      </c>
      <c r="AS221" s="0" t="n">
        <f aca="false">$B221/AS$1</f>
        <v>0.00328627450980392</v>
      </c>
      <c r="AT221" s="0" t="n">
        <f aca="false">$B221/AT$1</f>
        <v>0.00321072796934866</v>
      </c>
      <c r="AU221" s="0" t="n">
        <f aca="false">$B221/AU$1</f>
        <v>0.00313857677902622</v>
      </c>
      <c r="AV221" s="0" t="n">
        <f aca="false">$B221/AV$1</f>
        <v>0.00306959706959707</v>
      </c>
      <c r="AW221" s="0" t="n">
        <f aca="false">$B221/AW$1</f>
        <v>0.00300358422939068</v>
      </c>
      <c r="AX221" s="0" t="n">
        <f aca="false">$B221/AX$1</f>
        <v>0.00294035087719298</v>
      </c>
      <c r="AY221" s="0" t="n">
        <f aca="false">$B221/AY$1</f>
        <v>0.00287972508591065</v>
      </c>
      <c r="AZ221" s="0" t="n">
        <f aca="false">$B221/AZ$1</f>
        <v>0.00282154882154882</v>
      </c>
      <c r="BA221" s="0" t="n">
        <f aca="false">$B221/BA$1</f>
        <v>0.00276567656765677</v>
      </c>
      <c r="BB221" s="0" t="n">
        <f aca="false">$B221/BB$1</f>
        <v>0.00271197411003236</v>
      </c>
      <c r="BC221" s="0" t="n">
        <f aca="false">$B221/BC$1</f>
        <v>0.00266031746031746</v>
      </c>
      <c r="BD221" s="0" t="n">
        <f aca="false">$B221/BD$1</f>
        <v>0.00261059190031153</v>
      </c>
      <c r="BE221" s="0" t="n">
        <f aca="false">$B221/BE$1</f>
        <v>0.00256269113149847</v>
      </c>
      <c r="BF221" s="0" t="n">
        <f aca="false">$B221/BF$1</f>
        <v>0.00251651651651652</v>
      </c>
      <c r="BG221" s="0" t="n">
        <f aca="false">$B221/BG$1</f>
        <v>0.00247197640117994</v>
      </c>
      <c r="BH221" s="0" t="n">
        <f aca="false">$B221/BH$1</f>
        <v>0.00242898550724638</v>
      </c>
      <c r="BI221" s="0" t="n">
        <f aca="false">$B221/BI$1</f>
        <v>0.00238746438746439</v>
      </c>
      <c r="BJ221" s="0" t="n">
        <f aca="false">$B221/BJ$1</f>
        <v>0.00234733893557423</v>
      </c>
      <c r="BL221" s="0" t="n">
        <f aca="false">IF($B$219=1,COUNTIF(C221:BJ221,"&gt;="&amp;$C$219),0)</f>
        <v>34</v>
      </c>
      <c r="BM221" s="0" t="n">
        <f aca="false">IF($B$219=1,IF(OR(BS221&gt;=Settings!$B$5,Settings!$C$15&gt;0),MAX(BL221,Settings!$C$15),0),0)</f>
        <v>34</v>
      </c>
      <c r="BN221" s="0" t="n">
        <f aca="false">IF($B$219=1,IF(OR(BS221&gt;=Settings!$B$5,Settings!$C$15&gt;0),MAX(0,(2*MAX(BL221,Settings!$C$15)+1)*$C$219-BS221),MAX(0,Settings!$B$5-BS221)),"")</f>
        <v>0.00586666666666663</v>
      </c>
      <c r="BO221" s="0" t="n">
        <f aca="false">IF($B$219=1,IF(OR(BS221&gt;=Settings!$B$5,Settings!$C$15&gt;0),IF(BL221&lt;=Settings!$C$15,"Protected by electorates",IF(Settings!$C$15=0,MIN(BS221-(2*BL221-1)*$D$219,BS221-Settings!$B$5),BS221-(2*BL221-1)*$D$219)),""),"")</f>
        <v>0.00270209339774558</v>
      </c>
      <c r="BP221" s="0" t="n">
        <f aca="false">IF($B$219=1,IF(OR(BS221&gt;=Settings!$B$5,Settings!$C$15&gt;0),MAX(0,MIN(1,(BS221/$C$219-(2*MAX(BL221,Settings!$C$15)-1))/2)),MIN(1,BS221/Settings!$B$5)),"")</f>
        <v>0.290322580645167</v>
      </c>
      <c r="BQ221" s="0" t="n">
        <f aca="false">IF(AND($B$219=1,COUNTIF(C221:BJ221,$C$219)&gt;0),1,0)</f>
        <v>0</v>
      </c>
      <c r="BR221" s="0" t="n">
        <f aca="false">IF(AND($B$219=1,COUNTIF(C221:BJ221,$D$219)&gt;0),1,0)</f>
        <v>0</v>
      </c>
      <c r="BS221" s="0" t="n">
        <f aca="false">N(IF(Polls!I30="",Polls!I37,Polls!I30))</f>
        <v>0.279333333333333</v>
      </c>
      <c r="BT221" s="0" t="str">
        <f aca="false">IF(OR(BS221&gt;=Settings!$B$5,Settings!$C$15&gt;0),"Next seat","Threshold")</f>
        <v>Next seat</v>
      </c>
    </row>
    <row r="222" customFormat="false" ht="15" hidden="false" customHeight="false" outlineLevel="0" collapsed="false">
      <c r="A222" s="0" t="s">
        <v>45</v>
      </c>
      <c r="B222" s="0" t="n">
        <f aca="false">IF(OR(BS222&gt;=Settings!$B$5,Settings!$C$16&gt;0),BS222,0)</f>
        <v>0.145555555555556</v>
      </c>
      <c r="C222" s="0" t="n">
        <f aca="false">$B222/C$1</f>
        <v>0.145555555555556</v>
      </c>
      <c r="D222" s="0" t="n">
        <f aca="false">$B222/D$1</f>
        <v>0.0485185185185185</v>
      </c>
      <c r="E222" s="0" t="n">
        <f aca="false">$B222/E$1</f>
        <v>0.0291111111111111</v>
      </c>
      <c r="F222" s="0" t="n">
        <f aca="false">$B222/F$1</f>
        <v>0.0207936507936508</v>
      </c>
      <c r="G222" s="0" t="n">
        <f aca="false">$B222/G$1</f>
        <v>0.0161728395061728</v>
      </c>
      <c r="H222" s="0" t="n">
        <f aca="false">$B222/H$1</f>
        <v>0.0132323232323232</v>
      </c>
      <c r="I222" s="0" t="n">
        <f aca="false">$B222/I$1</f>
        <v>0.0111965811965812</v>
      </c>
      <c r="J222" s="0" t="n">
        <f aca="false">$B222/J$1</f>
        <v>0.0097037037037037</v>
      </c>
      <c r="K222" s="0" t="n">
        <f aca="false">$B222/K$1</f>
        <v>0.00856209150326797</v>
      </c>
      <c r="L222" s="0" t="n">
        <f aca="false">$B222/L$1</f>
        <v>0.00766081871345029</v>
      </c>
      <c r="M222" s="0" t="n">
        <f aca="false">$B222/M$1</f>
        <v>0.00693121693121693</v>
      </c>
      <c r="N222" s="0" t="n">
        <f aca="false">$B222/N$1</f>
        <v>0.00632850241545894</v>
      </c>
      <c r="O222" s="0" t="n">
        <f aca="false">$B222/O$1</f>
        <v>0.00582222222222222</v>
      </c>
      <c r="P222" s="0" t="n">
        <f aca="false">$B222/P$1</f>
        <v>0.00539094650205761</v>
      </c>
      <c r="Q222" s="0" t="n">
        <f aca="false">$B222/Q$1</f>
        <v>0.00501915708812261</v>
      </c>
      <c r="R222" s="0" t="n">
        <f aca="false">$B222/R$1</f>
        <v>0.00469534050179212</v>
      </c>
      <c r="S222" s="0" t="n">
        <f aca="false">$B222/S$1</f>
        <v>0.00441077441077441</v>
      </c>
      <c r="T222" s="0" t="n">
        <f aca="false">$B222/T$1</f>
        <v>0.00415873015873016</v>
      </c>
      <c r="U222" s="0" t="n">
        <f aca="false">$B222/U$1</f>
        <v>0.00393393393393393</v>
      </c>
      <c r="V222" s="0" t="n">
        <f aca="false">$B222/V$1</f>
        <v>0.00373219373219373</v>
      </c>
      <c r="W222" s="0" t="n">
        <f aca="false">$B222/W$1</f>
        <v>0.00355013550135501</v>
      </c>
      <c r="X222" s="0" t="n">
        <f aca="false">$B222/X$1</f>
        <v>0.00338501291989664</v>
      </c>
      <c r="Y222" s="0" t="n">
        <f aca="false">$B222/Y$1</f>
        <v>0.00323456790123457</v>
      </c>
      <c r="Z222" s="0" t="n">
        <f aca="false">$B222/Z$1</f>
        <v>0.00309692671394799</v>
      </c>
      <c r="AA222" s="0" t="n">
        <f aca="false">$B222/AA$1</f>
        <v>0.00297052154195011</v>
      </c>
      <c r="AB222" s="0" t="n">
        <f aca="false">$B222/AB$1</f>
        <v>0.00285403050108932</v>
      </c>
      <c r="AC222" s="0" t="n">
        <f aca="false">$B222/AC$1</f>
        <v>0.00274633123689727</v>
      </c>
      <c r="AD222" s="0" t="n">
        <f aca="false">$B222/AD$1</f>
        <v>0.00264646464646465</v>
      </c>
      <c r="AE222" s="0" t="n">
        <f aca="false">$B222/AE$1</f>
        <v>0.00255360623781676</v>
      </c>
      <c r="AF222" s="0" t="n">
        <f aca="false">$B222/AF$1</f>
        <v>0.00246704331450094</v>
      </c>
      <c r="AG222" s="0" t="n">
        <f aca="false">$B222/AG$1</f>
        <v>0.00238615664845173</v>
      </c>
      <c r="AH222" s="0" t="n">
        <f aca="false">$B222/AH$1</f>
        <v>0.00231040564373898</v>
      </c>
      <c r="AI222" s="0" t="n">
        <f aca="false">$B222/AI$1</f>
        <v>0.00223931623931624</v>
      </c>
      <c r="AJ222" s="0" t="n">
        <f aca="false">$B222/AJ$1</f>
        <v>0.00217247097844113</v>
      </c>
      <c r="AK222" s="0" t="n">
        <f aca="false">$B222/AK$1</f>
        <v>0.00210950080515298</v>
      </c>
      <c r="AL222" s="0" t="n">
        <f aca="false">$B222/AL$1</f>
        <v>0.00205007824726135</v>
      </c>
      <c r="AM222" s="0" t="n">
        <f aca="false">$B222/AM$1</f>
        <v>0.00199391171993912</v>
      </c>
      <c r="AN222" s="0" t="n">
        <f aca="false">$B222/AN$1</f>
        <v>0.00194074074074074</v>
      </c>
      <c r="AO222" s="0" t="n">
        <f aca="false">$B222/AO$1</f>
        <v>0.00189033189033189</v>
      </c>
      <c r="AP222" s="0" t="n">
        <f aca="false">$B222/AP$1</f>
        <v>0.00184247538677918</v>
      </c>
      <c r="AQ222" s="0" t="n">
        <f aca="false">$B222/AQ$1</f>
        <v>0.00179698216735254</v>
      </c>
      <c r="AR222" s="0" t="n">
        <f aca="false">$B222/AR$1</f>
        <v>0.00175368139223561</v>
      </c>
      <c r="AS222" s="0" t="n">
        <f aca="false">$B222/AS$1</f>
        <v>0.00171241830065359</v>
      </c>
      <c r="AT222" s="0" t="n">
        <f aca="false">$B222/AT$1</f>
        <v>0.00167305236270754</v>
      </c>
      <c r="AU222" s="0" t="n">
        <f aca="false">$B222/AU$1</f>
        <v>0.0016354556803995</v>
      </c>
      <c r="AV222" s="0" t="n">
        <f aca="false">$B222/AV$1</f>
        <v>0.0015995115995116</v>
      </c>
      <c r="AW222" s="0" t="n">
        <f aca="false">$B222/AW$1</f>
        <v>0.00156511350059737</v>
      </c>
      <c r="AX222" s="0" t="n">
        <f aca="false">$B222/AX$1</f>
        <v>0.00153216374269006</v>
      </c>
      <c r="AY222" s="0" t="n">
        <f aca="false">$B222/AY$1</f>
        <v>0.00150057273768614</v>
      </c>
      <c r="AZ222" s="0" t="n">
        <f aca="false">$B222/AZ$1</f>
        <v>0.0014702581369248</v>
      </c>
      <c r="BA222" s="0" t="n">
        <f aca="false">$B222/BA$1</f>
        <v>0.00144114411441144</v>
      </c>
      <c r="BB222" s="0" t="n">
        <f aca="false">$B222/BB$1</f>
        <v>0.00141316073354908</v>
      </c>
      <c r="BC222" s="0" t="n">
        <f aca="false">$B222/BC$1</f>
        <v>0.00138624338624339</v>
      </c>
      <c r="BD222" s="0" t="n">
        <f aca="false">$B222/BD$1</f>
        <v>0.00136033229491173</v>
      </c>
      <c r="BE222" s="0" t="n">
        <f aca="false">$B222/BE$1</f>
        <v>0.00133537206931702</v>
      </c>
      <c r="BF222" s="0" t="n">
        <f aca="false">$B222/BF$1</f>
        <v>0.00131131131131131</v>
      </c>
      <c r="BG222" s="0" t="n">
        <f aca="false">$B222/BG$1</f>
        <v>0.00128810226155359</v>
      </c>
      <c r="BH222" s="0" t="n">
        <f aca="false">$B222/BH$1</f>
        <v>0.00126570048309179</v>
      </c>
      <c r="BI222" s="0" t="n">
        <f aca="false">$B222/BI$1</f>
        <v>0.00124406457739791</v>
      </c>
      <c r="BJ222" s="0" t="n">
        <f aca="false">$B222/BJ$1</f>
        <v>0.00122315592903828</v>
      </c>
      <c r="BL222" s="0" t="n">
        <f aca="false">IF($B$219=1,COUNTIF(C222:BJ222,"&gt;="&amp;$C$219),0)</f>
        <v>18</v>
      </c>
      <c r="BM222" s="0" t="n">
        <f aca="false">IF($B$219=1,IF(OR(BS222&gt;=Settings!$B$5,Settings!$C$16&gt;0),MAX(BL222,Settings!$C$16),0),0)</f>
        <v>18</v>
      </c>
      <c r="BN222" s="0" t="n">
        <f aca="false">IF($B$219=1,IF(OR(BS222&gt;=Settings!$B$5,Settings!$C$16&gt;0),MAX(0,(2*MAX(BL222,Settings!$C$16)+1)*$C$219-BS222),MAX(0,Settings!$B$5-BS222)),"")</f>
        <v>0.00737777777777779</v>
      </c>
      <c r="BO222" s="0" t="n">
        <f aca="false">IF($B$219=1,IF(OR(BS222&gt;=Settings!$B$5,Settings!$C$16&gt;0),IF(BL222&lt;=Settings!$C$16,"Protected by electorates",IF(Settings!$C$16=0,MIN(BS222-(2*BL222-1)*$D$219,BS222-Settings!$B$5),BS222-(2*BL222-1)*$D$219)),""),"")</f>
        <v>0.0010466988727858</v>
      </c>
      <c r="BP222" s="0" t="n">
        <f aca="false">IF($B$219=1,IF(OR(BS222&gt;=Settings!$B$5,Settings!$C$16&gt;0),MAX(0,MIN(1,(BS222/$C$219-(2*MAX(BL222,Settings!$C$16)-1))/2)),MIN(1,BS222/Settings!$B$5)),"")</f>
        <v>0.107526881720428</v>
      </c>
      <c r="BQ222" s="0" t="n">
        <f aca="false">IF(AND($B$219=1,COUNTIF(C222:BJ222,$C$219)&gt;0),1,0)</f>
        <v>0</v>
      </c>
      <c r="BR222" s="0" t="n">
        <f aca="false">IF(AND($B$219=1,COUNTIF(C222:BJ222,$D$219)&gt;0),1,0)</f>
        <v>0</v>
      </c>
      <c r="BS222" s="0" t="n">
        <f aca="false">N(IF(Polls!J30="",Polls!J37,Polls!J30))</f>
        <v>0.145555555555556</v>
      </c>
      <c r="BT222" s="0" t="str">
        <f aca="false">IF(OR(BS222&gt;=Settings!$B$5,Settings!$C$16&gt;0),"Next seat","Threshold")</f>
        <v>Next seat</v>
      </c>
    </row>
    <row r="223" customFormat="false" ht="15" hidden="false" customHeight="false" outlineLevel="0" collapsed="false">
      <c r="A223" s="0" t="s">
        <v>46</v>
      </c>
      <c r="B223" s="0" t="n">
        <f aca="false">IF(OR(BS223&gt;=Settings!$B$5,Settings!$C$17&gt;0),BS223,0)</f>
        <v>0.0963333333333333</v>
      </c>
      <c r="C223" s="0" t="n">
        <f aca="false">$B223/C$1</f>
        <v>0.0963333333333333</v>
      </c>
      <c r="D223" s="0" t="n">
        <f aca="false">$B223/D$1</f>
        <v>0.0321111111111111</v>
      </c>
      <c r="E223" s="0" t="n">
        <f aca="false">$B223/E$1</f>
        <v>0.0192666666666667</v>
      </c>
      <c r="F223" s="0" t="n">
        <f aca="false">$B223/F$1</f>
        <v>0.0137619047619048</v>
      </c>
      <c r="G223" s="0" t="n">
        <f aca="false">$B223/G$1</f>
        <v>0.0107037037037037</v>
      </c>
      <c r="H223" s="0" t="n">
        <f aca="false">$B223/H$1</f>
        <v>0.00875757575757576</v>
      </c>
      <c r="I223" s="0" t="n">
        <f aca="false">$B223/I$1</f>
        <v>0.00741025641025641</v>
      </c>
      <c r="J223" s="0" t="n">
        <f aca="false">$B223/J$1</f>
        <v>0.00642222222222222</v>
      </c>
      <c r="K223" s="0" t="n">
        <f aca="false">$B223/K$1</f>
        <v>0.00566666666666667</v>
      </c>
      <c r="L223" s="0" t="n">
        <f aca="false">$B223/L$1</f>
        <v>0.00507017543859649</v>
      </c>
      <c r="M223" s="0" t="n">
        <f aca="false">$B223/M$1</f>
        <v>0.00458730158730159</v>
      </c>
      <c r="N223" s="0" t="n">
        <f aca="false">$B223/N$1</f>
        <v>0.00418840579710145</v>
      </c>
      <c r="O223" s="0" t="n">
        <f aca="false">$B223/O$1</f>
        <v>0.00385333333333333</v>
      </c>
      <c r="P223" s="0" t="n">
        <f aca="false">$B223/P$1</f>
        <v>0.0035679012345679</v>
      </c>
      <c r="Q223" s="0" t="n">
        <f aca="false">$B223/Q$1</f>
        <v>0.00332183908045977</v>
      </c>
      <c r="R223" s="0" t="n">
        <f aca="false">$B223/R$1</f>
        <v>0.00310752688172043</v>
      </c>
      <c r="S223" s="0" t="n">
        <f aca="false">$B223/S$1</f>
        <v>0.00291919191919192</v>
      </c>
      <c r="T223" s="0" t="n">
        <f aca="false">$B223/T$1</f>
        <v>0.00275238095238095</v>
      </c>
      <c r="U223" s="0" t="n">
        <f aca="false">$B223/U$1</f>
        <v>0.0026036036036036</v>
      </c>
      <c r="V223" s="0" t="n">
        <f aca="false">$B223/V$1</f>
        <v>0.00247008547008547</v>
      </c>
      <c r="W223" s="0" t="n">
        <f aca="false">$B223/W$1</f>
        <v>0.00234959349593496</v>
      </c>
      <c r="X223" s="0" t="n">
        <f aca="false">$B223/X$1</f>
        <v>0.00224031007751938</v>
      </c>
      <c r="Y223" s="0" t="n">
        <f aca="false">$B223/Y$1</f>
        <v>0.00214074074074074</v>
      </c>
      <c r="Z223" s="0" t="n">
        <f aca="false">$B223/Z$1</f>
        <v>0.00204964539007092</v>
      </c>
      <c r="AA223" s="0" t="n">
        <f aca="false">$B223/AA$1</f>
        <v>0.00196598639455782</v>
      </c>
      <c r="AB223" s="0" t="n">
        <f aca="false">$B223/AB$1</f>
        <v>0.00188888888888889</v>
      </c>
      <c r="AC223" s="0" t="n">
        <f aca="false">$B223/AC$1</f>
        <v>0.00181761006289308</v>
      </c>
      <c r="AD223" s="0" t="n">
        <f aca="false">$B223/AD$1</f>
        <v>0.00175151515151515</v>
      </c>
      <c r="AE223" s="0" t="n">
        <f aca="false">$B223/AE$1</f>
        <v>0.00169005847953216</v>
      </c>
      <c r="AF223" s="0" t="n">
        <f aca="false">$B223/AF$1</f>
        <v>0.00163276836158192</v>
      </c>
      <c r="AG223" s="0" t="n">
        <f aca="false">$B223/AG$1</f>
        <v>0.0015792349726776</v>
      </c>
      <c r="AH223" s="0" t="n">
        <f aca="false">$B223/AH$1</f>
        <v>0.00152910052910053</v>
      </c>
      <c r="AI223" s="0" t="n">
        <f aca="false">$B223/AI$1</f>
        <v>0.00148205128205128</v>
      </c>
      <c r="AJ223" s="0" t="n">
        <f aca="false">$B223/AJ$1</f>
        <v>0.00143781094527363</v>
      </c>
      <c r="AK223" s="0" t="n">
        <f aca="false">$B223/AK$1</f>
        <v>0.00139613526570048</v>
      </c>
      <c r="AL223" s="0" t="n">
        <f aca="false">$B223/AL$1</f>
        <v>0.00135680751173709</v>
      </c>
      <c r="AM223" s="0" t="n">
        <f aca="false">$B223/AM$1</f>
        <v>0.00131963470319635</v>
      </c>
      <c r="AN223" s="0" t="n">
        <f aca="false">$B223/AN$1</f>
        <v>0.00128444444444444</v>
      </c>
      <c r="AO223" s="0" t="n">
        <f aca="false">$B223/AO$1</f>
        <v>0.00125108225108225</v>
      </c>
      <c r="AP223" s="0" t="n">
        <f aca="false">$B223/AP$1</f>
        <v>0.00121940928270042</v>
      </c>
      <c r="AQ223" s="0" t="n">
        <f aca="false">$B223/AQ$1</f>
        <v>0.00118930041152263</v>
      </c>
      <c r="AR223" s="0" t="n">
        <f aca="false">$B223/AR$1</f>
        <v>0.00116064257028112</v>
      </c>
      <c r="AS223" s="0" t="n">
        <f aca="false">$B223/AS$1</f>
        <v>0.00113333333333333</v>
      </c>
      <c r="AT223" s="0" t="n">
        <f aca="false">$B223/AT$1</f>
        <v>0.00110727969348659</v>
      </c>
      <c r="AU223" s="0" t="n">
        <f aca="false">$B223/AU$1</f>
        <v>0.00108239700374532</v>
      </c>
      <c r="AV223" s="0" t="n">
        <f aca="false">$B223/AV$1</f>
        <v>0.00105860805860806</v>
      </c>
      <c r="AW223" s="0" t="n">
        <f aca="false">$B223/AW$1</f>
        <v>0.00103584229390681</v>
      </c>
      <c r="AX223" s="0" t="n">
        <f aca="false">$B223/AX$1</f>
        <v>0.0010140350877193</v>
      </c>
      <c r="AY223" s="0" t="n">
        <f aca="false">$B223/AY$1</f>
        <v>0.000993127147766323</v>
      </c>
      <c r="AZ223" s="0" t="n">
        <f aca="false">$B223/AZ$1</f>
        <v>0.000973063973063973</v>
      </c>
      <c r="BA223" s="0" t="n">
        <f aca="false">$B223/BA$1</f>
        <v>0.000953795379537954</v>
      </c>
      <c r="BB223" s="0" t="n">
        <f aca="false">$B223/BB$1</f>
        <v>0.000935275080906149</v>
      </c>
      <c r="BC223" s="0" t="n">
        <f aca="false">$B223/BC$1</f>
        <v>0.000917460317460317</v>
      </c>
      <c r="BD223" s="0" t="n">
        <f aca="false">$B223/BD$1</f>
        <v>0.000900311526479751</v>
      </c>
      <c r="BE223" s="0" t="n">
        <f aca="false">$B223/BE$1</f>
        <v>0.000883792048929664</v>
      </c>
      <c r="BF223" s="0" t="n">
        <f aca="false">$B223/BF$1</f>
        <v>0.000867867867867868</v>
      </c>
      <c r="BG223" s="0" t="n">
        <f aca="false">$B223/BG$1</f>
        <v>0.000852507374631268</v>
      </c>
      <c r="BH223" s="0" t="n">
        <f aca="false">$B223/BH$1</f>
        <v>0.00083768115942029</v>
      </c>
      <c r="BI223" s="0" t="n">
        <f aca="false">$B223/BI$1</f>
        <v>0.000823361823361823</v>
      </c>
      <c r="BJ223" s="0" t="n">
        <f aca="false">$B223/BJ$1</f>
        <v>0.00080952380952381</v>
      </c>
      <c r="BL223" s="0" t="n">
        <f aca="false">IF($B$219=1,COUNTIF(C223:BJ223,"&gt;="&amp;$C$219),0)</f>
        <v>12</v>
      </c>
      <c r="BM223" s="0" t="n">
        <f aca="false">IF($B$219=1,IF(OR(BS223&gt;=Settings!$B$5,Settings!$C$17&gt;0),MAX(BL223,Settings!$C$17),0),0)</f>
        <v>12</v>
      </c>
      <c r="BN223" s="0" t="n">
        <f aca="false">IF($B$219=1,IF(OR(BS223&gt;=Settings!$B$5,Settings!$C$17&gt;0),MAX(0,(2*MAX(BL223,Settings!$C$17)+1)*$C$219-BS223),MAX(0,Settings!$B$5-BS223)),"")</f>
        <v>0.00700000000000001</v>
      </c>
      <c r="BO223" s="0" t="n">
        <f aca="false">IF($B$219=1,IF(OR(BS223&gt;=Settings!$B$5,Settings!$C$17&gt;0),IF(BL223&lt;=Settings!$C$17,"Protected by electorates",IF(Settings!$C$17=0,MIN(BS223-(2*BL223-1)*$D$219,BS223-Settings!$B$5),BS223-(2*BL223-1)*$D$219)),""),"")</f>
        <v>0.00137037037037036</v>
      </c>
      <c r="BP223" s="0" t="n">
        <f aca="false">IF($B$219=1,IF(OR(BS223&gt;=Settings!$B$5,Settings!$C$17&gt;0),MAX(0,MIN(1,(BS223/$C$219-(2*MAX(BL223,Settings!$C$17)-1))/2)),MIN(1,BS223/Settings!$B$5)),"")</f>
        <v>0.153225806451612</v>
      </c>
      <c r="BQ223" s="0" t="n">
        <f aca="false">IF(AND($B$219=1,COUNTIF(C223:BJ223,$C$219)&gt;0),1,0)</f>
        <v>0</v>
      </c>
      <c r="BR223" s="0" t="n">
        <f aca="false">IF(AND($B$219=1,COUNTIF(C223:BJ223,$D$219)&gt;0),1,0)</f>
        <v>0</v>
      </c>
      <c r="BS223" s="0" t="n">
        <f aca="false">N(IF(Polls!K30="",Polls!K37,Polls!K30))</f>
        <v>0.0963333333333333</v>
      </c>
      <c r="BT223" s="0" t="str">
        <f aca="false">IF(OR(BS223&gt;=Settings!$B$5,Settings!$C$17&gt;0),"Next seat","Threshold")</f>
        <v>Next seat</v>
      </c>
    </row>
    <row r="224" customFormat="false" ht="15" hidden="false" customHeight="false" outlineLevel="0" collapsed="false">
      <c r="A224" s="0" t="s">
        <v>48</v>
      </c>
      <c r="B224" s="0" t="n">
        <f aca="false">IF(OR(BS224&gt;=Settings!$B$5,Settings!$C$18&gt;0),BS224,0)</f>
        <v>0.103333333333333</v>
      </c>
      <c r="C224" s="0" t="n">
        <f aca="false">$B224/C$1</f>
        <v>0.103333333333333</v>
      </c>
      <c r="D224" s="0" t="n">
        <f aca="false">$B224/D$1</f>
        <v>0.0344444444444444</v>
      </c>
      <c r="E224" s="0" t="n">
        <f aca="false">$B224/E$1</f>
        <v>0.0206666666666667</v>
      </c>
      <c r="F224" s="0" t="n">
        <f aca="false">$B224/F$1</f>
        <v>0.0147619047619048</v>
      </c>
      <c r="G224" s="0" t="n">
        <f aca="false">$B224/G$1</f>
        <v>0.0114814814814815</v>
      </c>
      <c r="H224" s="0" t="n">
        <f aca="false">$B224/H$1</f>
        <v>0.00939393939393939</v>
      </c>
      <c r="I224" s="0" t="n">
        <f aca="false">$B224/I$1</f>
        <v>0.00794871794871795</v>
      </c>
      <c r="J224" s="0" t="n">
        <f aca="false">$B224/J$1</f>
        <v>0.00688888888888889</v>
      </c>
      <c r="K224" s="0" t="n">
        <f aca="false">$B224/K$1</f>
        <v>0.00607843137254902</v>
      </c>
      <c r="L224" s="0" t="n">
        <f aca="false">$B224/L$1</f>
        <v>0.00543859649122807</v>
      </c>
      <c r="M224" s="0" t="n">
        <f aca="false">$B224/M$1</f>
        <v>0.00492063492063492</v>
      </c>
      <c r="N224" s="0" t="n">
        <f aca="false">$B224/N$1</f>
        <v>0.00449275362318841</v>
      </c>
      <c r="O224" s="0" t="n">
        <f aca="false">$B224/O$1</f>
        <v>0.00413333333333333</v>
      </c>
      <c r="P224" s="0" t="n">
        <f aca="false">$B224/P$1</f>
        <v>0.00382716049382716</v>
      </c>
      <c r="Q224" s="0" t="n">
        <f aca="false">$B224/Q$1</f>
        <v>0.0035632183908046</v>
      </c>
      <c r="R224" s="0" t="n">
        <f aca="false">$B224/R$1</f>
        <v>0.00333333333333333</v>
      </c>
      <c r="S224" s="0" t="n">
        <f aca="false">$B224/S$1</f>
        <v>0.00313131313131313</v>
      </c>
      <c r="T224" s="0" t="n">
        <f aca="false">$B224/T$1</f>
        <v>0.00295238095238095</v>
      </c>
      <c r="U224" s="0" t="n">
        <f aca="false">$B224/U$1</f>
        <v>0.00279279279279279</v>
      </c>
      <c r="V224" s="0" t="n">
        <f aca="false">$B224/V$1</f>
        <v>0.00264957264957265</v>
      </c>
      <c r="W224" s="0" t="n">
        <f aca="false">$B224/W$1</f>
        <v>0.00252032520325203</v>
      </c>
      <c r="X224" s="0" t="n">
        <f aca="false">$B224/X$1</f>
        <v>0.0024031007751938</v>
      </c>
      <c r="Y224" s="0" t="n">
        <f aca="false">$B224/Y$1</f>
        <v>0.0022962962962963</v>
      </c>
      <c r="Z224" s="0" t="n">
        <f aca="false">$B224/Z$1</f>
        <v>0.00219858156028369</v>
      </c>
      <c r="AA224" s="0" t="n">
        <f aca="false">$B224/AA$1</f>
        <v>0.00210884353741497</v>
      </c>
      <c r="AB224" s="0" t="n">
        <f aca="false">$B224/AB$1</f>
        <v>0.00202614379084967</v>
      </c>
      <c r="AC224" s="0" t="n">
        <f aca="false">$B224/AC$1</f>
        <v>0.0019496855345912</v>
      </c>
      <c r="AD224" s="0" t="n">
        <f aca="false">$B224/AD$1</f>
        <v>0.00187878787878788</v>
      </c>
      <c r="AE224" s="0" t="n">
        <f aca="false">$B224/AE$1</f>
        <v>0.00181286549707602</v>
      </c>
      <c r="AF224" s="0" t="n">
        <f aca="false">$B224/AF$1</f>
        <v>0.00175141242937853</v>
      </c>
      <c r="AG224" s="0" t="n">
        <f aca="false">$B224/AG$1</f>
        <v>0.00169398907103825</v>
      </c>
      <c r="AH224" s="0" t="n">
        <f aca="false">$B224/AH$1</f>
        <v>0.00164021164021164</v>
      </c>
      <c r="AI224" s="0" t="n">
        <f aca="false">$B224/AI$1</f>
        <v>0.00158974358974359</v>
      </c>
      <c r="AJ224" s="0" t="n">
        <f aca="false">$B224/AJ$1</f>
        <v>0.00154228855721393</v>
      </c>
      <c r="AK224" s="0" t="n">
        <f aca="false">$B224/AK$1</f>
        <v>0.0014975845410628</v>
      </c>
      <c r="AL224" s="0" t="n">
        <f aca="false">$B224/AL$1</f>
        <v>0.00145539906103286</v>
      </c>
      <c r="AM224" s="0" t="n">
        <f aca="false">$B224/AM$1</f>
        <v>0.00141552511415525</v>
      </c>
      <c r="AN224" s="0" t="n">
        <f aca="false">$B224/AN$1</f>
        <v>0.00137777777777778</v>
      </c>
      <c r="AO224" s="0" t="n">
        <f aca="false">$B224/AO$1</f>
        <v>0.00134199134199134</v>
      </c>
      <c r="AP224" s="0" t="n">
        <f aca="false">$B224/AP$1</f>
        <v>0.00130801687763713</v>
      </c>
      <c r="AQ224" s="0" t="n">
        <f aca="false">$B224/AQ$1</f>
        <v>0.00127572016460905</v>
      </c>
      <c r="AR224" s="0" t="n">
        <f aca="false">$B224/AR$1</f>
        <v>0.00124497991967872</v>
      </c>
      <c r="AS224" s="0" t="n">
        <f aca="false">$B224/AS$1</f>
        <v>0.0012156862745098</v>
      </c>
      <c r="AT224" s="0" t="n">
        <f aca="false">$B224/AT$1</f>
        <v>0.00118773946360153</v>
      </c>
      <c r="AU224" s="0" t="n">
        <f aca="false">$B224/AU$1</f>
        <v>0.00116104868913858</v>
      </c>
      <c r="AV224" s="0" t="n">
        <f aca="false">$B224/AV$1</f>
        <v>0.00113553113553114</v>
      </c>
      <c r="AW224" s="0" t="n">
        <f aca="false">$B224/AW$1</f>
        <v>0.00111111111111111</v>
      </c>
      <c r="AX224" s="0" t="n">
        <f aca="false">$B224/AX$1</f>
        <v>0.00108771929824561</v>
      </c>
      <c r="AY224" s="0" t="n">
        <f aca="false">$B224/AY$1</f>
        <v>0.00106529209621993</v>
      </c>
      <c r="AZ224" s="0" t="n">
        <f aca="false">$B224/AZ$1</f>
        <v>0.00104377104377104</v>
      </c>
      <c r="BA224" s="0" t="n">
        <f aca="false">$B224/BA$1</f>
        <v>0.00102310231023102</v>
      </c>
      <c r="BB224" s="0" t="n">
        <f aca="false">$B224/BB$1</f>
        <v>0.00100323624595469</v>
      </c>
      <c r="BC224" s="0" t="n">
        <f aca="false">$B224/BC$1</f>
        <v>0.000984126984126984</v>
      </c>
      <c r="BD224" s="0" t="n">
        <f aca="false">$B224/BD$1</f>
        <v>0.000965732087227414</v>
      </c>
      <c r="BE224" s="0" t="n">
        <f aca="false">$B224/BE$1</f>
        <v>0.000948012232415902</v>
      </c>
      <c r="BF224" s="0" t="n">
        <f aca="false">$B224/BF$1</f>
        <v>0.000930930930930931</v>
      </c>
      <c r="BG224" s="0" t="n">
        <f aca="false">$B224/BG$1</f>
        <v>0.000914454277286136</v>
      </c>
      <c r="BH224" s="0" t="n">
        <f aca="false">$B224/BH$1</f>
        <v>0.000898550724637681</v>
      </c>
      <c r="BI224" s="0" t="n">
        <f aca="false">$B224/BI$1</f>
        <v>0.000883190883190883</v>
      </c>
      <c r="BJ224" s="0" t="n">
        <f aca="false">$B224/BJ$1</f>
        <v>0.000868347338935574</v>
      </c>
      <c r="BL224" s="0" t="n">
        <f aca="false">IF($B$219=1,COUNTIF(C224:BJ224,"&gt;="&amp;$C$219),0)</f>
        <v>13</v>
      </c>
      <c r="BM224" s="0" t="n">
        <f aca="false">IF($B$219=1,IF(OR(BS224&gt;=Settings!$B$5,Settings!$C$18&gt;0),MAX(BL224,Settings!$C$18),0),0)</f>
        <v>13</v>
      </c>
      <c r="BN224" s="0" t="n">
        <f aca="false">IF($B$219=1,IF(OR(BS224&gt;=Settings!$B$5,Settings!$C$18&gt;0),MAX(0,(2*MAX(BL224,Settings!$C$18)+1)*$C$219-BS224),MAX(0,Settings!$B$5-BS224)),"")</f>
        <v>0.00826666666666667</v>
      </c>
      <c r="BO224" s="0" t="n">
        <f aca="false">IF($B$219=1,IF(OR(BS224&gt;=Settings!$B$5,Settings!$C$18&gt;0),IF(BL224&lt;=Settings!$C$18,"Protected by electorates",IF(Settings!$C$18=0,MIN(BS224-(2*BL224-1)*$D$219,BS224-Settings!$B$5),BS224-(2*BL224-1)*$D$219)),""),"")</f>
        <v>0.000112721417069223</v>
      </c>
      <c r="BP224" s="0" t="n">
        <f aca="false">IF($B$219=1,IF(OR(BS224&gt;=Settings!$B$5,Settings!$C$18&gt;0),MAX(0,MIN(1,(BS224/$C$219-(2*MAX(BL224,Settings!$C$18)-1))/2)),MIN(1,BS224/Settings!$B$5)),"")</f>
        <v>0</v>
      </c>
      <c r="BQ224" s="0" t="n">
        <f aca="false">IF(AND($B$219=1,COUNTIF(C224:BJ224,$C$219)&gt;0),1,0)</f>
        <v>1</v>
      </c>
      <c r="BR224" s="0" t="n">
        <f aca="false">IF(AND($B$219=1,COUNTIF(C224:BJ224,$D$219)&gt;0),1,0)</f>
        <v>0</v>
      </c>
      <c r="BS224" s="0" t="n">
        <f aca="false">N(IF(Polls!L30="",Polls!L37,Polls!L30))</f>
        <v>0.103333333333333</v>
      </c>
      <c r="BT224" s="0" t="str">
        <f aca="false">IF(OR(BS224&gt;=Settings!$B$5,Settings!$C$18&gt;0),"Next seat","Threshold")</f>
        <v>Next seat</v>
      </c>
    </row>
    <row r="225" customFormat="false" ht="15" hidden="false" customHeight="false" outlineLevel="0" collapsed="false">
      <c r="A225" s="0" t="s">
        <v>50</v>
      </c>
      <c r="B225" s="0" t="n">
        <f aca="false">IF(OR(BS225&gt;=Settings!$B$5,Settings!$C$19&gt;0),BS225,0)</f>
        <v>0.0145</v>
      </c>
      <c r="C225" s="0" t="n">
        <f aca="false">$B225/C$1</f>
        <v>0.0145</v>
      </c>
      <c r="D225" s="0" t="n">
        <f aca="false">$B225/D$1</f>
        <v>0.00483333333333333</v>
      </c>
      <c r="E225" s="0" t="n">
        <f aca="false">$B225/E$1</f>
        <v>0.0029</v>
      </c>
      <c r="F225" s="0" t="n">
        <f aca="false">$B225/F$1</f>
        <v>0.00207142857142857</v>
      </c>
      <c r="G225" s="0" t="n">
        <f aca="false">$B225/G$1</f>
        <v>0.00161111111111111</v>
      </c>
      <c r="H225" s="0" t="n">
        <f aca="false">$B225/H$1</f>
        <v>0.00131818181818182</v>
      </c>
      <c r="I225" s="0" t="n">
        <f aca="false">$B225/I$1</f>
        <v>0.00111538461538462</v>
      </c>
      <c r="J225" s="0" t="n">
        <f aca="false">$B225/J$1</f>
        <v>0.000966666666666667</v>
      </c>
      <c r="K225" s="0" t="n">
        <f aca="false">$B225/K$1</f>
        <v>0.000852941176470588</v>
      </c>
      <c r="L225" s="0" t="n">
        <f aca="false">$B225/L$1</f>
        <v>0.000763157894736842</v>
      </c>
      <c r="M225" s="0" t="n">
        <f aca="false">$B225/M$1</f>
        <v>0.000690476190476191</v>
      </c>
      <c r="N225" s="0" t="n">
        <f aca="false">$B225/N$1</f>
        <v>0.000630434782608696</v>
      </c>
      <c r="O225" s="0" t="n">
        <f aca="false">$B225/O$1</f>
        <v>0.00058</v>
      </c>
      <c r="P225" s="0" t="n">
        <f aca="false">$B225/P$1</f>
        <v>0.000537037037037037</v>
      </c>
      <c r="Q225" s="0" t="n">
        <f aca="false">$B225/Q$1</f>
        <v>0.0005</v>
      </c>
      <c r="R225" s="0" t="n">
        <f aca="false">$B225/R$1</f>
        <v>0.000467741935483871</v>
      </c>
      <c r="S225" s="0" t="n">
        <f aca="false">$B225/S$1</f>
        <v>0.000439393939393939</v>
      </c>
      <c r="T225" s="0" t="n">
        <f aca="false">$B225/T$1</f>
        <v>0.000414285714285714</v>
      </c>
      <c r="U225" s="0" t="n">
        <f aca="false">$B225/U$1</f>
        <v>0.000391891891891892</v>
      </c>
      <c r="V225" s="0" t="n">
        <f aca="false">$B225/V$1</f>
        <v>0.000371794871794872</v>
      </c>
      <c r="W225" s="0" t="n">
        <f aca="false">$B225/W$1</f>
        <v>0.000353658536585366</v>
      </c>
      <c r="X225" s="0" t="n">
        <f aca="false">$B225/X$1</f>
        <v>0.000337209302325581</v>
      </c>
      <c r="Y225" s="0" t="n">
        <f aca="false">$B225/Y$1</f>
        <v>0.000322222222222222</v>
      </c>
      <c r="Z225" s="0" t="n">
        <f aca="false">$B225/Z$1</f>
        <v>0.000308510638297872</v>
      </c>
      <c r="AA225" s="0" t="n">
        <f aca="false">$B225/AA$1</f>
        <v>0.000295918367346939</v>
      </c>
      <c r="AB225" s="0" t="n">
        <f aca="false">$B225/AB$1</f>
        <v>0.000284313725490196</v>
      </c>
      <c r="AC225" s="0" t="n">
        <f aca="false">$B225/AC$1</f>
        <v>0.000273584905660377</v>
      </c>
      <c r="AD225" s="0" t="n">
        <f aca="false">$B225/AD$1</f>
        <v>0.000263636363636364</v>
      </c>
      <c r="AE225" s="0" t="n">
        <f aca="false">$B225/AE$1</f>
        <v>0.000254385964912281</v>
      </c>
      <c r="AF225" s="0" t="n">
        <f aca="false">$B225/AF$1</f>
        <v>0.000245762711864407</v>
      </c>
      <c r="AG225" s="0" t="n">
        <f aca="false">$B225/AG$1</f>
        <v>0.000237704918032787</v>
      </c>
      <c r="AH225" s="0" t="n">
        <f aca="false">$B225/AH$1</f>
        <v>0.00023015873015873</v>
      </c>
      <c r="AI225" s="0" t="n">
        <f aca="false">$B225/AI$1</f>
        <v>0.000223076923076923</v>
      </c>
      <c r="AJ225" s="0" t="n">
        <f aca="false">$B225/AJ$1</f>
        <v>0.000216417910447761</v>
      </c>
      <c r="AK225" s="0" t="n">
        <f aca="false">$B225/AK$1</f>
        <v>0.000210144927536232</v>
      </c>
      <c r="AL225" s="0" t="n">
        <f aca="false">$B225/AL$1</f>
        <v>0.000204225352112676</v>
      </c>
      <c r="AM225" s="0" t="n">
        <f aca="false">$B225/AM$1</f>
        <v>0.000198630136986301</v>
      </c>
      <c r="AN225" s="0" t="n">
        <f aca="false">$B225/AN$1</f>
        <v>0.000193333333333333</v>
      </c>
      <c r="AO225" s="0" t="n">
        <f aca="false">$B225/AO$1</f>
        <v>0.000188311688311688</v>
      </c>
      <c r="AP225" s="0" t="n">
        <f aca="false">$B225/AP$1</f>
        <v>0.000183544303797468</v>
      </c>
      <c r="AQ225" s="0" t="n">
        <f aca="false">$B225/AQ$1</f>
        <v>0.000179012345679012</v>
      </c>
      <c r="AR225" s="0" t="n">
        <f aca="false">$B225/AR$1</f>
        <v>0.000174698795180723</v>
      </c>
      <c r="AS225" s="0" t="n">
        <f aca="false">$B225/AS$1</f>
        <v>0.000170588235294118</v>
      </c>
      <c r="AT225" s="0" t="n">
        <f aca="false">$B225/AT$1</f>
        <v>0.000166666666666667</v>
      </c>
      <c r="AU225" s="0" t="n">
        <f aca="false">$B225/AU$1</f>
        <v>0.000162921348314607</v>
      </c>
      <c r="AV225" s="0" t="n">
        <f aca="false">$B225/AV$1</f>
        <v>0.000159340659340659</v>
      </c>
      <c r="AW225" s="0" t="n">
        <f aca="false">$B225/AW$1</f>
        <v>0.000155913978494624</v>
      </c>
      <c r="AX225" s="0" t="n">
        <f aca="false">$B225/AX$1</f>
        <v>0.000152631578947368</v>
      </c>
      <c r="AY225" s="0" t="n">
        <f aca="false">$B225/AY$1</f>
        <v>0.000149484536082474</v>
      </c>
      <c r="AZ225" s="0" t="n">
        <f aca="false">$B225/AZ$1</f>
        <v>0.000146464646464646</v>
      </c>
      <c r="BA225" s="0" t="n">
        <f aca="false">$B225/BA$1</f>
        <v>0.000143564356435644</v>
      </c>
      <c r="BB225" s="0" t="n">
        <f aca="false">$B225/BB$1</f>
        <v>0.000140776699029126</v>
      </c>
      <c r="BC225" s="0" t="n">
        <f aca="false">$B225/BC$1</f>
        <v>0.000138095238095238</v>
      </c>
      <c r="BD225" s="0" t="n">
        <f aca="false">$B225/BD$1</f>
        <v>0.000135514018691589</v>
      </c>
      <c r="BE225" s="0" t="n">
        <f aca="false">$B225/BE$1</f>
        <v>0.00013302752293578</v>
      </c>
      <c r="BF225" s="0" t="n">
        <f aca="false">$B225/BF$1</f>
        <v>0.000130630630630631</v>
      </c>
      <c r="BG225" s="0" t="n">
        <f aca="false">$B225/BG$1</f>
        <v>0.000128318584070796</v>
      </c>
      <c r="BH225" s="0" t="n">
        <f aca="false">$B225/BH$1</f>
        <v>0.000126086956521739</v>
      </c>
      <c r="BI225" s="0" t="n">
        <f aca="false">$B225/BI$1</f>
        <v>0.000123931623931624</v>
      </c>
      <c r="BJ225" s="0" t="n">
        <f aca="false">$B225/BJ$1</f>
        <v>0.000121848739495798</v>
      </c>
      <c r="BL225" s="0" t="n">
        <f aca="false">IF($B$219=1,COUNTIF(C225:BJ225,"&gt;="&amp;$C$219),0)</f>
        <v>2</v>
      </c>
      <c r="BM225" s="0" t="n">
        <f aca="false">IF($B$219=1,IF(OR(BS225&gt;=Settings!$B$5,Settings!$C$19&gt;0),MAX(BL225,Settings!$C$19),0),0)</f>
        <v>4</v>
      </c>
      <c r="BN225" s="0" t="n">
        <f aca="false">IF($B$219=1,IF(OR(BS225&gt;=Settings!$B$5,Settings!$C$19&gt;0),MAX(0,(2*MAX(BL225,Settings!$C$19)+1)*$C$219-BS225),MAX(0,Settings!$B$5-BS225)),"")</f>
        <v>0.0227</v>
      </c>
      <c r="BO225" s="0" t="str">
        <f aca="false">IF($B$219=1,IF(OR(BS225&gt;=Settings!$B$5,Settings!$C$19&gt;0),IF(BL225&lt;=Settings!$C$19,"Protected by electorates",IF(Settings!$C$19=0,MIN(BS225-(2*BL225-1)*$D$219,BS225-Settings!$B$5),BS225-(2*BL225-1)*$D$219)),""),"")</f>
        <v>Protected by electorates</v>
      </c>
      <c r="BP225" s="0" t="n">
        <f aca="false">IF($B$219=1,IF(OR(BS225&gt;=Settings!$B$5,Settings!$C$19&gt;0),MAX(0,MIN(1,(BS225/$C$219-(2*MAX(BL225,Settings!$C$19)-1))/2)),MIN(1,BS225/Settings!$B$5)),"")</f>
        <v>0</v>
      </c>
      <c r="BQ225" s="0" t="n">
        <f aca="false">IF(AND($B$219=1,COUNTIF(C225:BJ225,$C$219)&gt;0),1,0)</f>
        <v>0</v>
      </c>
      <c r="BR225" s="0" t="n">
        <f aca="false">IF(AND($B$219=1,COUNTIF(C225:BJ225,$D$219)&gt;0),1,0)</f>
        <v>0</v>
      </c>
      <c r="BS225" s="0" t="n">
        <f aca="false">N(IF(Polls!M30="",Polls!M37,Polls!M30))</f>
        <v>0.0145</v>
      </c>
      <c r="BT225" s="0" t="str">
        <f aca="false">IF(OR(BS225&gt;=Settings!$B$5,Settings!$C$19&gt;0),"Next seat","Threshold")</f>
        <v>Next seat</v>
      </c>
    </row>
    <row r="226" customFormat="false" ht="15" hidden="false" customHeight="false" outlineLevel="0" collapsed="false">
      <c r="A226" s="0" t="s">
        <v>52</v>
      </c>
      <c r="B226" s="0" t="n">
        <f aca="false">IF(OR(BS226&gt;=Settings!$B$5,Settings!$C$20&gt;0),BS226,0)</f>
        <v>0.0614444444444445</v>
      </c>
      <c r="C226" s="0" t="n">
        <f aca="false">$B226/C$1</f>
        <v>0.0614444444444445</v>
      </c>
      <c r="D226" s="0" t="n">
        <f aca="false">$B226/D$1</f>
        <v>0.0204814814814815</v>
      </c>
      <c r="E226" s="0" t="n">
        <f aca="false">$B226/E$1</f>
        <v>0.0122888888888889</v>
      </c>
      <c r="F226" s="0" t="n">
        <f aca="false">$B226/F$1</f>
        <v>0.00877777777777778</v>
      </c>
      <c r="G226" s="0" t="n">
        <f aca="false">$B226/G$1</f>
        <v>0.00682716049382716</v>
      </c>
      <c r="H226" s="0" t="n">
        <f aca="false">$B226/H$1</f>
        <v>0.00558585858585859</v>
      </c>
      <c r="I226" s="0" t="n">
        <f aca="false">$B226/I$1</f>
        <v>0.00472649572649573</v>
      </c>
      <c r="J226" s="0" t="n">
        <f aca="false">$B226/J$1</f>
        <v>0.0040962962962963</v>
      </c>
      <c r="K226" s="0" t="n">
        <f aca="false">$B226/K$1</f>
        <v>0.00361437908496732</v>
      </c>
      <c r="L226" s="0" t="n">
        <f aca="false">$B226/L$1</f>
        <v>0.00323391812865497</v>
      </c>
      <c r="M226" s="0" t="n">
        <f aca="false">$B226/M$1</f>
        <v>0.00292592592592593</v>
      </c>
      <c r="N226" s="0" t="n">
        <f aca="false">$B226/N$1</f>
        <v>0.00267149758454106</v>
      </c>
      <c r="O226" s="0" t="n">
        <f aca="false">$B226/O$1</f>
        <v>0.00245777777777778</v>
      </c>
      <c r="P226" s="0" t="n">
        <f aca="false">$B226/P$1</f>
        <v>0.00227572016460905</v>
      </c>
      <c r="Q226" s="0" t="n">
        <f aca="false">$B226/Q$1</f>
        <v>0.00211877394636015</v>
      </c>
      <c r="R226" s="0" t="n">
        <f aca="false">$B226/R$1</f>
        <v>0.0019820788530466</v>
      </c>
      <c r="S226" s="0" t="n">
        <f aca="false">$B226/S$1</f>
        <v>0.00186195286195286</v>
      </c>
      <c r="T226" s="0" t="n">
        <f aca="false">$B226/T$1</f>
        <v>0.00175555555555556</v>
      </c>
      <c r="U226" s="0" t="n">
        <f aca="false">$B226/U$1</f>
        <v>0.00166066066066066</v>
      </c>
      <c r="V226" s="0" t="n">
        <f aca="false">$B226/V$1</f>
        <v>0.00157549857549858</v>
      </c>
      <c r="W226" s="0" t="n">
        <f aca="false">$B226/W$1</f>
        <v>0.00149864498644986</v>
      </c>
      <c r="X226" s="0" t="n">
        <f aca="false">$B226/X$1</f>
        <v>0.00142894056847545</v>
      </c>
      <c r="Y226" s="0" t="n">
        <f aca="false">$B226/Y$1</f>
        <v>0.00136543209876543</v>
      </c>
      <c r="Z226" s="0" t="n">
        <f aca="false">$B226/Z$1</f>
        <v>0.00130732860520095</v>
      </c>
      <c r="AA226" s="0" t="n">
        <f aca="false">$B226/AA$1</f>
        <v>0.00125396825396825</v>
      </c>
      <c r="AB226" s="0" t="n">
        <f aca="false">$B226/AB$1</f>
        <v>0.00120479302832244</v>
      </c>
      <c r="AC226" s="0" t="n">
        <f aca="false">$B226/AC$1</f>
        <v>0.00115932914046122</v>
      </c>
      <c r="AD226" s="0" t="n">
        <f aca="false">$B226/AD$1</f>
        <v>0.00111717171717172</v>
      </c>
      <c r="AE226" s="0" t="n">
        <f aca="false">$B226/AE$1</f>
        <v>0.00107797270955166</v>
      </c>
      <c r="AF226" s="0" t="n">
        <f aca="false">$B226/AF$1</f>
        <v>0.00104143126177024</v>
      </c>
      <c r="AG226" s="0" t="n">
        <f aca="false">$B226/AG$1</f>
        <v>0.00100728597449909</v>
      </c>
      <c r="AH226" s="0" t="n">
        <f aca="false">$B226/AH$1</f>
        <v>0.000975308641975309</v>
      </c>
      <c r="AI226" s="0" t="n">
        <f aca="false">$B226/AI$1</f>
        <v>0.000945299145299145</v>
      </c>
      <c r="AJ226" s="0" t="n">
        <f aca="false">$B226/AJ$1</f>
        <v>0.000917081260364843</v>
      </c>
      <c r="AK226" s="0" t="n">
        <f aca="false">$B226/AK$1</f>
        <v>0.000890499194847021</v>
      </c>
      <c r="AL226" s="0" t="n">
        <f aca="false">$B226/AL$1</f>
        <v>0.000865414710485133</v>
      </c>
      <c r="AM226" s="0" t="n">
        <f aca="false">$B226/AM$1</f>
        <v>0.000841704718417047</v>
      </c>
      <c r="AN226" s="0" t="n">
        <f aca="false">$B226/AN$1</f>
        <v>0.000819259259259259</v>
      </c>
      <c r="AO226" s="0" t="n">
        <f aca="false">$B226/AO$1</f>
        <v>0.000797979797979798</v>
      </c>
      <c r="AP226" s="0" t="n">
        <f aca="false">$B226/AP$1</f>
        <v>0.000777777777777778</v>
      </c>
      <c r="AQ226" s="0" t="n">
        <f aca="false">$B226/AQ$1</f>
        <v>0.000758573388203018</v>
      </c>
      <c r="AR226" s="0" t="n">
        <f aca="false">$B226/AR$1</f>
        <v>0.000740294511378849</v>
      </c>
      <c r="AS226" s="0" t="n">
        <f aca="false">$B226/AS$1</f>
        <v>0.000722875816993464</v>
      </c>
      <c r="AT226" s="0" t="n">
        <f aca="false">$B226/AT$1</f>
        <v>0.000706257982120051</v>
      </c>
      <c r="AU226" s="0" t="n">
        <f aca="false">$B226/AU$1</f>
        <v>0.000690387016229713</v>
      </c>
      <c r="AV226" s="0" t="n">
        <f aca="false">$B226/AV$1</f>
        <v>0.000675213675213675</v>
      </c>
      <c r="AW226" s="0" t="n">
        <f aca="false">$B226/AW$1</f>
        <v>0.000660692951015532</v>
      </c>
      <c r="AX226" s="0" t="n">
        <f aca="false">$B226/AX$1</f>
        <v>0.000646783625730994</v>
      </c>
      <c r="AY226" s="0" t="n">
        <f aca="false">$B226/AY$1</f>
        <v>0.000633447880870561</v>
      </c>
      <c r="AZ226" s="0" t="n">
        <f aca="false">$B226/AZ$1</f>
        <v>0.000620650953984287</v>
      </c>
      <c r="BA226" s="0" t="n">
        <f aca="false">$B226/BA$1</f>
        <v>0.000608360836083608</v>
      </c>
      <c r="BB226" s="0" t="n">
        <f aca="false">$B226/BB$1</f>
        <v>0.000596548004314995</v>
      </c>
      <c r="BC226" s="0" t="n">
        <f aca="false">$B226/BC$1</f>
        <v>0.000585185185185185</v>
      </c>
      <c r="BD226" s="0" t="n">
        <f aca="false">$B226/BD$1</f>
        <v>0.000574247144340602</v>
      </c>
      <c r="BE226" s="0" t="n">
        <f aca="false">$B226/BE$1</f>
        <v>0.000563710499490316</v>
      </c>
      <c r="BF226" s="0" t="n">
        <f aca="false">$B226/BF$1</f>
        <v>0.000553553553553554</v>
      </c>
      <c r="BG226" s="0" t="n">
        <f aca="false">$B226/BG$1</f>
        <v>0.000543756145526057</v>
      </c>
      <c r="BH226" s="0" t="n">
        <f aca="false">$B226/BH$1</f>
        <v>0.000534299516908213</v>
      </c>
      <c r="BI226" s="0" t="n">
        <f aca="false">$B226/BI$1</f>
        <v>0.000525166191832859</v>
      </c>
      <c r="BJ226" s="0" t="n">
        <f aca="false">$B226/BJ$1</f>
        <v>0.000516339869281046</v>
      </c>
      <c r="BL226" s="0" t="n">
        <f aca="false">IF($B$219=1,COUNTIF(C226:BJ226,"&gt;="&amp;$C$219),0)</f>
        <v>7</v>
      </c>
      <c r="BM226" s="0" t="n">
        <f aca="false">IF($B$219=1,IF(OR(BS226&gt;=Settings!$B$5,Settings!$C$20&gt;0),MAX(BL226,Settings!$C$20),0),0)</f>
        <v>7</v>
      </c>
      <c r="BN226" s="0" t="n">
        <f aca="false">IF($B$219=1,IF(OR(BS226&gt;=Settings!$B$5,Settings!$C$20&gt;0),MAX(0,(2*MAX(BL226,Settings!$C$20)+1)*$C$219-BS226),MAX(0,Settings!$B$5-BS226)),"")</f>
        <v>0.000555555555555552</v>
      </c>
      <c r="BO226" s="0" t="n">
        <f aca="false">IF($B$219=1,IF(OR(BS226&gt;=Settings!$B$5,Settings!$C$20&gt;0),IF(BL226&lt;=Settings!$C$20,"Protected by electorates",IF(Settings!$C$20=0,MIN(BS226-(2*BL226-1)*$D$219,BS226-Settings!$B$5),BS226-(2*BL226-1)*$D$219)),""),"")</f>
        <v>0.00776972624798712</v>
      </c>
      <c r="BP226" s="0" t="n">
        <f aca="false">IF($B$219=1,IF(OR(BS226&gt;=Settings!$B$5,Settings!$C$20&gt;0),MAX(0,MIN(1,(BS226/$C$219-(2*MAX(BL226,Settings!$C$20)-1))/2)),MIN(1,BS226/Settings!$B$5)),"")</f>
        <v>0.932795698924731</v>
      </c>
      <c r="BQ226" s="0" t="n">
        <f aca="false">IF(AND($B$219=1,COUNTIF(C226:BJ226,$C$219)&gt;0),1,0)</f>
        <v>0</v>
      </c>
      <c r="BR226" s="0" t="n">
        <f aca="false">IF(AND($B$219=1,COUNTIF(C226:BJ226,$D$219)&gt;0),1,0)</f>
        <v>0</v>
      </c>
      <c r="BS226" s="0" t="n">
        <f aca="false">N(IF(Polls!N30="",Polls!N37,Polls!N30))</f>
        <v>0.0614444444444445</v>
      </c>
      <c r="BT226" s="0" t="str">
        <f aca="false">IF(OR(BS226&gt;=Settings!$B$5,Settings!$C$20&gt;0),"Next seat","Threshold")</f>
        <v>Next seat</v>
      </c>
    </row>
    <row r="228" customFormat="false" ht="15" hidden="false" customHeight="false" outlineLevel="0" collapsed="false">
      <c r="A228" s="41" t="n">
        <f aca="false">Polls!A31</f>
        <v>0</v>
      </c>
      <c r="B228" s="17" t="n">
        <f aca="false">IF(SUM(BS229:BS235)&gt;0,1,0)</f>
        <v>1</v>
      </c>
      <c r="C228" s="17" t="n">
        <f aca="false">IF(B228=1,LARGE(C229:BJ235,Settings!$B$4),0)</f>
        <v>0.00413333333333333</v>
      </c>
      <c r="D228" s="17" t="n">
        <f aca="false">IF(B228=1,LARGE(C229:BJ235,Settings!$B$4+1),0)</f>
        <v>0.00412882447665056</v>
      </c>
      <c r="E228" s="0" t="str">
        <f aca="false">IF(B228=1,IFERROR(INDEX(A229:A235,MATCH(1,BQ229:BQ235,0)),""),"")</f>
        <v>NZF</v>
      </c>
      <c r="F228" s="0" t="str">
        <f aca="false">IF(B228=1,IFERROR(INDEX(A229:A235,MATCH(1,BR229:BR235,0)),""),"")</f>
        <v>NAT</v>
      </c>
      <c r="G228" s="17" t="n">
        <f aca="false">IF(B228=1,SUM(BM229:BM235)+Settings!$B$10,"")</f>
        <v>122</v>
      </c>
    </row>
    <row r="229" customFormat="false" ht="15" hidden="false" customHeight="false" outlineLevel="0" collapsed="false">
      <c r="A229" s="0" t="s">
        <v>41</v>
      </c>
      <c r="B229" s="0" t="n">
        <f aca="false">IF(OR(BS229&gt;=Settings!$B$5,Settings!$C$14&gt;0),BS229,0)</f>
        <v>0.284888888888889</v>
      </c>
      <c r="C229" s="0" t="n">
        <f aca="false">$B229/C$1</f>
        <v>0.284888888888889</v>
      </c>
      <c r="D229" s="0" t="n">
        <f aca="false">$B229/D$1</f>
        <v>0.094962962962963</v>
      </c>
      <c r="E229" s="0" t="n">
        <f aca="false">$B229/E$1</f>
        <v>0.0569777777777778</v>
      </c>
      <c r="F229" s="0" t="n">
        <f aca="false">$B229/F$1</f>
        <v>0.0406984126984127</v>
      </c>
      <c r="G229" s="0" t="n">
        <f aca="false">$B229/G$1</f>
        <v>0.0316543209876543</v>
      </c>
      <c r="H229" s="0" t="n">
        <f aca="false">$B229/H$1</f>
        <v>0.0258989898989899</v>
      </c>
      <c r="I229" s="0" t="n">
        <f aca="false">$B229/I$1</f>
        <v>0.0219145299145299</v>
      </c>
      <c r="J229" s="0" t="n">
        <f aca="false">$B229/J$1</f>
        <v>0.0189925925925926</v>
      </c>
      <c r="K229" s="0" t="n">
        <f aca="false">$B229/K$1</f>
        <v>0.0167581699346405</v>
      </c>
      <c r="L229" s="0" t="n">
        <f aca="false">$B229/L$1</f>
        <v>0.0149941520467836</v>
      </c>
      <c r="M229" s="0" t="n">
        <f aca="false">$B229/M$1</f>
        <v>0.0135661375661376</v>
      </c>
      <c r="N229" s="0" t="n">
        <f aca="false">$B229/N$1</f>
        <v>0.0123864734299517</v>
      </c>
      <c r="O229" s="0" t="n">
        <f aca="false">$B229/O$1</f>
        <v>0.0113955555555556</v>
      </c>
      <c r="P229" s="0" t="n">
        <f aca="false">$B229/P$1</f>
        <v>0.0105514403292181</v>
      </c>
      <c r="Q229" s="0" t="n">
        <f aca="false">$B229/Q$1</f>
        <v>0.00982375478927203</v>
      </c>
      <c r="R229" s="0" t="n">
        <f aca="false">$B229/R$1</f>
        <v>0.0091899641577061</v>
      </c>
      <c r="S229" s="0" t="n">
        <f aca="false">$B229/S$1</f>
        <v>0.00863299663299663</v>
      </c>
      <c r="T229" s="0" t="n">
        <f aca="false">$B229/T$1</f>
        <v>0.00813968253968254</v>
      </c>
      <c r="U229" s="0" t="n">
        <f aca="false">$B229/U$1</f>
        <v>0.0076996996996997</v>
      </c>
      <c r="V229" s="0" t="n">
        <f aca="false">$B229/V$1</f>
        <v>0.00730484330484331</v>
      </c>
      <c r="W229" s="0" t="n">
        <f aca="false">$B229/W$1</f>
        <v>0.00694850948509485</v>
      </c>
      <c r="X229" s="0" t="n">
        <f aca="false">$B229/X$1</f>
        <v>0.00662532299741602</v>
      </c>
      <c r="Y229" s="0" t="n">
        <f aca="false">$B229/Y$1</f>
        <v>0.00633086419753086</v>
      </c>
      <c r="Z229" s="0" t="n">
        <f aca="false">$B229/Z$1</f>
        <v>0.00606146572104019</v>
      </c>
      <c r="AA229" s="0" t="n">
        <f aca="false">$B229/AA$1</f>
        <v>0.0058140589569161</v>
      </c>
      <c r="AB229" s="0" t="n">
        <f aca="false">$B229/AB$1</f>
        <v>0.00558605664488018</v>
      </c>
      <c r="AC229" s="0" t="n">
        <f aca="false">$B229/AC$1</f>
        <v>0.00537526205450734</v>
      </c>
      <c r="AD229" s="0" t="n">
        <f aca="false">$B229/AD$1</f>
        <v>0.00517979797979798</v>
      </c>
      <c r="AE229" s="0" t="n">
        <f aca="false">$B229/AE$1</f>
        <v>0.00499805068226121</v>
      </c>
      <c r="AF229" s="0" t="n">
        <f aca="false">$B229/AF$1</f>
        <v>0.0048286252354049</v>
      </c>
      <c r="AG229" s="0" t="n">
        <f aca="false">$B229/AG$1</f>
        <v>0.00467030965391621</v>
      </c>
      <c r="AH229" s="0" t="n">
        <f aca="false">$B229/AH$1</f>
        <v>0.00452204585537919</v>
      </c>
      <c r="AI229" s="0" t="n">
        <f aca="false">$B229/AI$1</f>
        <v>0.00438290598290598</v>
      </c>
      <c r="AJ229" s="0" t="n">
        <f aca="false">$B229/AJ$1</f>
        <v>0.00425207296849088</v>
      </c>
      <c r="AK229" s="0" t="n">
        <f aca="false">$B229/AK$1</f>
        <v>0.00412882447665056</v>
      </c>
      <c r="AL229" s="0" t="n">
        <f aca="false">$B229/AL$1</f>
        <v>0.00401251956181534</v>
      </c>
      <c r="AM229" s="0" t="n">
        <f aca="false">$B229/AM$1</f>
        <v>0.00390258751902588</v>
      </c>
      <c r="AN229" s="0" t="n">
        <f aca="false">$B229/AN$1</f>
        <v>0.00379851851851852</v>
      </c>
      <c r="AO229" s="0" t="n">
        <f aca="false">$B229/AO$1</f>
        <v>0.0036998556998557</v>
      </c>
      <c r="AP229" s="0" t="n">
        <f aca="false">$B229/AP$1</f>
        <v>0.00360618846694796</v>
      </c>
      <c r="AQ229" s="0" t="n">
        <f aca="false">$B229/AQ$1</f>
        <v>0.00351714677640604</v>
      </c>
      <c r="AR229" s="0" t="n">
        <f aca="false">$B229/AR$1</f>
        <v>0.00343239625167336</v>
      </c>
      <c r="AS229" s="0" t="n">
        <f aca="false">$B229/AS$1</f>
        <v>0.00335163398692811</v>
      </c>
      <c r="AT229" s="0" t="n">
        <f aca="false">$B229/AT$1</f>
        <v>0.00327458492975734</v>
      </c>
      <c r="AU229" s="0" t="n">
        <f aca="false">$B229/AU$1</f>
        <v>0.00320099875156055</v>
      </c>
      <c r="AV229" s="0" t="n">
        <f aca="false">$B229/AV$1</f>
        <v>0.00313064713064713</v>
      </c>
      <c r="AW229" s="0" t="n">
        <f aca="false">$B229/AW$1</f>
        <v>0.00306332138590203</v>
      </c>
      <c r="AX229" s="0" t="n">
        <f aca="false">$B229/AX$1</f>
        <v>0.00299883040935673</v>
      </c>
      <c r="AY229" s="0" t="n">
        <f aca="false">$B229/AY$1</f>
        <v>0.00293699885452463</v>
      </c>
      <c r="AZ229" s="0" t="n">
        <f aca="false">$B229/AZ$1</f>
        <v>0.00287766554433221</v>
      </c>
      <c r="BA229" s="0" t="n">
        <f aca="false">$B229/BA$1</f>
        <v>0.00282068206820682</v>
      </c>
      <c r="BB229" s="0" t="n">
        <f aca="false">$B229/BB$1</f>
        <v>0.00276591154261057</v>
      </c>
      <c r="BC229" s="0" t="n">
        <f aca="false">$B229/BC$1</f>
        <v>0.00271322751322751</v>
      </c>
      <c r="BD229" s="0" t="n">
        <f aca="false">$B229/BD$1</f>
        <v>0.00266251298026999</v>
      </c>
      <c r="BE229" s="0" t="n">
        <f aca="false">$B229/BE$1</f>
        <v>0.00261365953109072</v>
      </c>
      <c r="BF229" s="0" t="n">
        <f aca="false">$B229/BF$1</f>
        <v>0.00256656656656657</v>
      </c>
      <c r="BG229" s="0" t="n">
        <f aca="false">$B229/BG$1</f>
        <v>0.00252114060963619</v>
      </c>
      <c r="BH229" s="0" t="n">
        <f aca="false">$B229/BH$1</f>
        <v>0.00247729468599034</v>
      </c>
      <c r="BI229" s="0" t="n">
        <f aca="false">$B229/BI$1</f>
        <v>0.0024349477682811</v>
      </c>
      <c r="BJ229" s="0" t="n">
        <f aca="false">$B229/BJ$1</f>
        <v>0.00239402427637722</v>
      </c>
      <c r="BL229" s="0" t="n">
        <f aca="false">IF($B$228=1,COUNTIF(C229:BJ229,"&gt;="&amp;$C$228),0)</f>
        <v>34</v>
      </c>
      <c r="BM229" s="0" t="n">
        <f aca="false">IF($B$228=1,IF(OR(BS229&gt;=Settings!$B$5,Settings!$C$14&gt;0),MAX(BL229,Settings!$C$14),0),0)</f>
        <v>34</v>
      </c>
      <c r="BN229" s="0" t="n">
        <f aca="false">IF($B$228=1,IF(OR(BS229&gt;=Settings!$B$5,Settings!$C$14&gt;0),MAX(0,(2*MAX(BL229,Settings!$C$14)+1)*$C$228-BS229),MAX(0,Settings!$B$5-BS229)),"")</f>
        <v>0.000311111111111095</v>
      </c>
      <c r="BO229" s="0" t="n">
        <f aca="false">IF($B$228=1,IF(OR(BS229&gt;=Settings!$B$5,Settings!$C$14&gt;0),IF(BL229&lt;=Settings!$C$14,"Protected by electorates",IF(Settings!$C$14=0,MIN(BS229-(2*BL229-1)*$D$228,BS229-Settings!$B$5),BS229-(2*BL229-1)*$D$228)),""),"")</f>
        <v>0.00825764895330111</v>
      </c>
      <c r="BP229" s="0" t="n">
        <f aca="false">IF($B$228=1,IF(OR(BS229&gt;=Settings!$B$5,Settings!$C$14&gt;0),MAX(0,MIN(1,(BS229/$C$228-(2*MAX(BL229,Settings!$C$14)-1))/2)),MIN(1,BS229/Settings!$B$5)),"")</f>
        <v>0.962365591397848</v>
      </c>
      <c r="BQ229" s="0" t="n">
        <f aca="false">IF(AND($B$228=1,COUNTIF(C229:BJ229,$C$228)&gt;0),1,0)</f>
        <v>0</v>
      </c>
      <c r="BR229" s="0" t="n">
        <f aca="false">IF(AND($B$228=1,COUNTIF(C229:BJ229,$D$228)&gt;0),1,0)</f>
        <v>1</v>
      </c>
      <c r="BS229" s="0" t="n">
        <f aca="false">N(IF(Polls!H31="",Polls!H37,Polls!H31))</f>
        <v>0.284888888888889</v>
      </c>
      <c r="BT229" s="0" t="str">
        <f aca="false">IF(OR(BS229&gt;=Settings!$B$5,Settings!$C$14&gt;0),"Next seat","Threshold")</f>
        <v>Next seat</v>
      </c>
    </row>
    <row r="230" customFormat="false" ht="15" hidden="false" customHeight="false" outlineLevel="0" collapsed="false">
      <c r="A230" s="0" t="s">
        <v>43</v>
      </c>
      <c r="B230" s="0" t="n">
        <f aca="false">IF(OR(BS230&gt;=Settings!$B$5,Settings!$C$15&gt;0),BS230,0)</f>
        <v>0.279333333333333</v>
      </c>
      <c r="C230" s="0" t="n">
        <f aca="false">$B230/C$1</f>
        <v>0.279333333333333</v>
      </c>
      <c r="D230" s="0" t="n">
        <f aca="false">$B230/D$1</f>
        <v>0.0931111111111111</v>
      </c>
      <c r="E230" s="0" t="n">
        <f aca="false">$B230/E$1</f>
        <v>0.0558666666666667</v>
      </c>
      <c r="F230" s="0" t="n">
        <f aca="false">$B230/F$1</f>
        <v>0.0399047619047619</v>
      </c>
      <c r="G230" s="0" t="n">
        <f aca="false">$B230/G$1</f>
        <v>0.031037037037037</v>
      </c>
      <c r="H230" s="0" t="n">
        <f aca="false">$B230/H$1</f>
        <v>0.0253939393939394</v>
      </c>
      <c r="I230" s="0" t="n">
        <f aca="false">$B230/I$1</f>
        <v>0.0214871794871795</v>
      </c>
      <c r="J230" s="0" t="n">
        <f aca="false">$B230/J$1</f>
        <v>0.0186222222222222</v>
      </c>
      <c r="K230" s="0" t="n">
        <f aca="false">$B230/K$1</f>
        <v>0.0164313725490196</v>
      </c>
      <c r="L230" s="0" t="n">
        <f aca="false">$B230/L$1</f>
        <v>0.0147017543859649</v>
      </c>
      <c r="M230" s="0" t="n">
        <f aca="false">$B230/M$1</f>
        <v>0.0133015873015873</v>
      </c>
      <c r="N230" s="0" t="n">
        <f aca="false">$B230/N$1</f>
        <v>0.0121449275362319</v>
      </c>
      <c r="O230" s="0" t="n">
        <f aca="false">$B230/O$1</f>
        <v>0.0111733333333333</v>
      </c>
      <c r="P230" s="0" t="n">
        <f aca="false">$B230/P$1</f>
        <v>0.0103456790123457</v>
      </c>
      <c r="Q230" s="0" t="n">
        <f aca="false">$B230/Q$1</f>
        <v>0.00963218390804598</v>
      </c>
      <c r="R230" s="0" t="n">
        <f aca="false">$B230/R$1</f>
        <v>0.00901075268817204</v>
      </c>
      <c r="S230" s="0" t="n">
        <f aca="false">$B230/S$1</f>
        <v>0.00846464646464647</v>
      </c>
      <c r="T230" s="0" t="n">
        <f aca="false">$B230/T$1</f>
        <v>0.00798095238095238</v>
      </c>
      <c r="U230" s="0" t="n">
        <f aca="false">$B230/U$1</f>
        <v>0.00754954954954955</v>
      </c>
      <c r="V230" s="0" t="n">
        <f aca="false">$B230/V$1</f>
        <v>0.00716239316239316</v>
      </c>
      <c r="W230" s="0" t="n">
        <f aca="false">$B230/W$1</f>
        <v>0.0068130081300813</v>
      </c>
      <c r="X230" s="0" t="n">
        <f aca="false">$B230/X$1</f>
        <v>0.00649612403100775</v>
      </c>
      <c r="Y230" s="0" t="n">
        <f aca="false">$B230/Y$1</f>
        <v>0.00620740740740741</v>
      </c>
      <c r="Z230" s="0" t="n">
        <f aca="false">$B230/Z$1</f>
        <v>0.00594326241134752</v>
      </c>
      <c r="AA230" s="0" t="n">
        <f aca="false">$B230/AA$1</f>
        <v>0.00570068027210885</v>
      </c>
      <c r="AB230" s="0" t="n">
        <f aca="false">$B230/AB$1</f>
        <v>0.00547712418300654</v>
      </c>
      <c r="AC230" s="0" t="n">
        <f aca="false">$B230/AC$1</f>
        <v>0.00527044025157233</v>
      </c>
      <c r="AD230" s="0" t="n">
        <f aca="false">$B230/AD$1</f>
        <v>0.00507878787878788</v>
      </c>
      <c r="AE230" s="0" t="n">
        <f aca="false">$B230/AE$1</f>
        <v>0.00490058479532164</v>
      </c>
      <c r="AF230" s="0" t="n">
        <f aca="false">$B230/AF$1</f>
        <v>0.00473446327683616</v>
      </c>
      <c r="AG230" s="0" t="n">
        <f aca="false">$B230/AG$1</f>
        <v>0.0045792349726776</v>
      </c>
      <c r="AH230" s="0" t="n">
        <f aca="false">$B230/AH$1</f>
        <v>0.00443386243386244</v>
      </c>
      <c r="AI230" s="0" t="n">
        <f aca="false">$B230/AI$1</f>
        <v>0.0042974358974359</v>
      </c>
      <c r="AJ230" s="0" t="n">
        <f aca="false">$B230/AJ$1</f>
        <v>0.00416915422885572</v>
      </c>
      <c r="AK230" s="0" t="n">
        <f aca="false">$B230/AK$1</f>
        <v>0.00404830917874396</v>
      </c>
      <c r="AL230" s="0" t="n">
        <f aca="false">$B230/AL$1</f>
        <v>0.00393427230046948</v>
      </c>
      <c r="AM230" s="0" t="n">
        <f aca="false">$B230/AM$1</f>
        <v>0.00382648401826484</v>
      </c>
      <c r="AN230" s="0" t="n">
        <f aca="false">$B230/AN$1</f>
        <v>0.00372444444444445</v>
      </c>
      <c r="AO230" s="0" t="n">
        <f aca="false">$B230/AO$1</f>
        <v>0.00362770562770563</v>
      </c>
      <c r="AP230" s="0" t="n">
        <f aca="false">$B230/AP$1</f>
        <v>0.00353586497890295</v>
      </c>
      <c r="AQ230" s="0" t="n">
        <f aca="false">$B230/AQ$1</f>
        <v>0.00344855967078189</v>
      </c>
      <c r="AR230" s="0" t="n">
        <f aca="false">$B230/AR$1</f>
        <v>0.00336546184738956</v>
      </c>
      <c r="AS230" s="0" t="n">
        <f aca="false">$B230/AS$1</f>
        <v>0.00328627450980392</v>
      </c>
      <c r="AT230" s="0" t="n">
        <f aca="false">$B230/AT$1</f>
        <v>0.00321072796934866</v>
      </c>
      <c r="AU230" s="0" t="n">
        <f aca="false">$B230/AU$1</f>
        <v>0.00313857677902622</v>
      </c>
      <c r="AV230" s="0" t="n">
        <f aca="false">$B230/AV$1</f>
        <v>0.00306959706959707</v>
      </c>
      <c r="AW230" s="0" t="n">
        <f aca="false">$B230/AW$1</f>
        <v>0.00300358422939068</v>
      </c>
      <c r="AX230" s="0" t="n">
        <f aca="false">$B230/AX$1</f>
        <v>0.00294035087719298</v>
      </c>
      <c r="AY230" s="0" t="n">
        <f aca="false">$B230/AY$1</f>
        <v>0.00287972508591065</v>
      </c>
      <c r="AZ230" s="0" t="n">
        <f aca="false">$B230/AZ$1</f>
        <v>0.00282154882154882</v>
      </c>
      <c r="BA230" s="0" t="n">
        <f aca="false">$B230/BA$1</f>
        <v>0.00276567656765677</v>
      </c>
      <c r="BB230" s="0" t="n">
        <f aca="false">$B230/BB$1</f>
        <v>0.00271197411003236</v>
      </c>
      <c r="BC230" s="0" t="n">
        <f aca="false">$B230/BC$1</f>
        <v>0.00266031746031746</v>
      </c>
      <c r="BD230" s="0" t="n">
        <f aca="false">$B230/BD$1</f>
        <v>0.00261059190031153</v>
      </c>
      <c r="BE230" s="0" t="n">
        <f aca="false">$B230/BE$1</f>
        <v>0.00256269113149847</v>
      </c>
      <c r="BF230" s="0" t="n">
        <f aca="false">$B230/BF$1</f>
        <v>0.00251651651651652</v>
      </c>
      <c r="BG230" s="0" t="n">
        <f aca="false">$B230/BG$1</f>
        <v>0.00247197640117994</v>
      </c>
      <c r="BH230" s="0" t="n">
        <f aca="false">$B230/BH$1</f>
        <v>0.00242898550724638</v>
      </c>
      <c r="BI230" s="0" t="n">
        <f aca="false">$B230/BI$1</f>
        <v>0.00238746438746439</v>
      </c>
      <c r="BJ230" s="0" t="n">
        <f aca="false">$B230/BJ$1</f>
        <v>0.00234733893557423</v>
      </c>
      <c r="BL230" s="0" t="n">
        <f aca="false">IF($B$228=1,COUNTIF(C230:BJ230,"&gt;="&amp;$C$228),0)</f>
        <v>34</v>
      </c>
      <c r="BM230" s="0" t="n">
        <f aca="false">IF($B$228=1,IF(OR(BS230&gt;=Settings!$B$5,Settings!$C$15&gt;0),MAX(BL230,Settings!$C$15),0),0)</f>
        <v>34</v>
      </c>
      <c r="BN230" s="0" t="n">
        <f aca="false">IF($B$228=1,IF(OR(BS230&gt;=Settings!$B$5,Settings!$C$15&gt;0),MAX(0,(2*MAX(BL230,Settings!$C$15)+1)*$C$228-BS230),MAX(0,Settings!$B$5-BS230)),"")</f>
        <v>0.00586666666666663</v>
      </c>
      <c r="BO230" s="0" t="n">
        <f aca="false">IF($B$228=1,IF(OR(BS230&gt;=Settings!$B$5,Settings!$C$15&gt;0),IF(BL230&lt;=Settings!$C$15,"Protected by electorates",IF(Settings!$C$15=0,MIN(BS230-(2*BL230-1)*$D$228,BS230-Settings!$B$5),BS230-(2*BL230-1)*$D$228)),""),"")</f>
        <v>0.00270209339774558</v>
      </c>
      <c r="BP230" s="0" t="n">
        <f aca="false">IF($B$228=1,IF(OR(BS230&gt;=Settings!$B$5,Settings!$C$15&gt;0),MAX(0,MIN(1,(BS230/$C$228-(2*MAX(BL230,Settings!$C$15)-1))/2)),MIN(1,BS230/Settings!$B$5)),"")</f>
        <v>0.290322580645167</v>
      </c>
      <c r="BQ230" s="0" t="n">
        <f aca="false">IF(AND($B$228=1,COUNTIF(C230:BJ230,$C$228)&gt;0),1,0)</f>
        <v>0</v>
      </c>
      <c r="BR230" s="0" t="n">
        <f aca="false">IF(AND($B$228=1,COUNTIF(C230:BJ230,$D$228)&gt;0),1,0)</f>
        <v>0</v>
      </c>
      <c r="BS230" s="0" t="n">
        <f aca="false">N(IF(Polls!I31="",Polls!I37,Polls!I31))</f>
        <v>0.279333333333333</v>
      </c>
      <c r="BT230" s="0" t="str">
        <f aca="false">IF(OR(BS230&gt;=Settings!$B$5,Settings!$C$15&gt;0),"Next seat","Threshold")</f>
        <v>Next seat</v>
      </c>
    </row>
    <row r="231" customFormat="false" ht="15" hidden="false" customHeight="false" outlineLevel="0" collapsed="false">
      <c r="A231" s="0" t="s">
        <v>45</v>
      </c>
      <c r="B231" s="0" t="n">
        <f aca="false">IF(OR(BS231&gt;=Settings!$B$5,Settings!$C$16&gt;0),BS231,0)</f>
        <v>0.145555555555556</v>
      </c>
      <c r="C231" s="0" t="n">
        <f aca="false">$B231/C$1</f>
        <v>0.145555555555556</v>
      </c>
      <c r="D231" s="0" t="n">
        <f aca="false">$B231/D$1</f>
        <v>0.0485185185185185</v>
      </c>
      <c r="E231" s="0" t="n">
        <f aca="false">$B231/E$1</f>
        <v>0.0291111111111111</v>
      </c>
      <c r="F231" s="0" t="n">
        <f aca="false">$B231/F$1</f>
        <v>0.0207936507936508</v>
      </c>
      <c r="G231" s="0" t="n">
        <f aca="false">$B231/G$1</f>
        <v>0.0161728395061728</v>
      </c>
      <c r="H231" s="0" t="n">
        <f aca="false">$B231/H$1</f>
        <v>0.0132323232323232</v>
      </c>
      <c r="I231" s="0" t="n">
        <f aca="false">$B231/I$1</f>
        <v>0.0111965811965812</v>
      </c>
      <c r="J231" s="0" t="n">
        <f aca="false">$B231/J$1</f>
        <v>0.0097037037037037</v>
      </c>
      <c r="K231" s="0" t="n">
        <f aca="false">$B231/K$1</f>
        <v>0.00856209150326797</v>
      </c>
      <c r="L231" s="0" t="n">
        <f aca="false">$B231/L$1</f>
        <v>0.00766081871345029</v>
      </c>
      <c r="M231" s="0" t="n">
        <f aca="false">$B231/M$1</f>
        <v>0.00693121693121693</v>
      </c>
      <c r="N231" s="0" t="n">
        <f aca="false">$B231/N$1</f>
        <v>0.00632850241545894</v>
      </c>
      <c r="O231" s="0" t="n">
        <f aca="false">$B231/O$1</f>
        <v>0.00582222222222222</v>
      </c>
      <c r="P231" s="0" t="n">
        <f aca="false">$B231/P$1</f>
        <v>0.00539094650205761</v>
      </c>
      <c r="Q231" s="0" t="n">
        <f aca="false">$B231/Q$1</f>
        <v>0.00501915708812261</v>
      </c>
      <c r="R231" s="0" t="n">
        <f aca="false">$B231/R$1</f>
        <v>0.00469534050179212</v>
      </c>
      <c r="S231" s="0" t="n">
        <f aca="false">$B231/S$1</f>
        <v>0.00441077441077441</v>
      </c>
      <c r="T231" s="0" t="n">
        <f aca="false">$B231/T$1</f>
        <v>0.00415873015873016</v>
      </c>
      <c r="U231" s="0" t="n">
        <f aca="false">$B231/U$1</f>
        <v>0.00393393393393393</v>
      </c>
      <c r="V231" s="0" t="n">
        <f aca="false">$B231/V$1</f>
        <v>0.00373219373219373</v>
      </c>
      <c r="W231" s="0" t="n">
        <f aca="false">$B231/W$1</f>
        <v>0.00355013550135501</v>
      </c>
      <c r="X231" s="0" t="n">
        <f aca="false">$B231/X$1</f>
        <v>0.00338501291989664</v>
      </c>
      <c r="Y231" s="0" t="n">
        <f aca="false">$B231/Y$1</f>
        <v>0.00323456790123457</v>
      </c>
      <c r="Z231" s="0" t="n">
        <f aca="false">$B231/Z$1</f>
        <v>0.00309692671394799</v>
      </c>
      <c r="AA231" s="0" t="n">
        <f aca="false">$B231/AA$1</f>
        <v>0.00297052154195011</v>
      </c>
      <c r="AB231" s="0" t="n">
        <f aca="false">$B231/AB$1</f>
        <v>0.00285403050108932</v>
      </c>
      <c r="AC231" s="0" t="n">
        <f aca="false">$B231/AC$1</f>
        <v>0.00274633123689727</v>
      </c>
      <c r="AD231" s="0" t="n">
        <f aca="false">$B231/AD$1</f>
        <v>0.00264646464646465</v>
      </c>
      <c r="AE231" s="0" t="n">
        <f aca="false">$B231/AE$1</f>
        <v>0.00255360623781676</v>
      </c>
      <c r="AF231" s="0" t="n">
        <f aca="false">$B231/AF$1</f>
        <v>0.00246704331450094</v>
      </c>
      <c r="AG231" s="0" t="n">
        <f aca="false">$B231/AG$1</f>
        <v>0.00238615664845173</v>
      </c>
      <c r="AH231" s="0" t="n">
        <f aca="false">$B231/AH$1</f>
        <v>0.00231040564373898</v>
      </c>
      <c r="AI231" s="0" t="n">
        <f aca="false">$B231/AI$1</f>
        <v>0.00223931623931624</v>
      </c>
      <c r="AJ231" s="0" t="n">
        <f aca="false">$B231/AJ$1</f>
        <v>0.00217247097844113</v>
      </c>
      <c r="AK231" s="0" t="n">
        <f aca="false">$B231/AK$1</f>
        <v>0.00210950080515298</v>
      </c>
      <c r="AL231" s="0" t="n">
        <f aca="false">$B231/AL$1</f>
        <v>0.00205007824726135</v>
      </c>
      <c r="AM231" s="0" t="n">
        <f aca="false">$B231/AM$1</f>
        <v>0.00199391171993912</v>
      </c>
      <c r="AN231" s="0" t="n">
        <f aca="false">$B231/AN$1</f>
        <v>0.00194074074074074</v>
      </c>
      <c r="AO231" s="0" t="n">
        <f aca="false">$B231/AO$1</f>
        <v>0.00189033189033189</v>
      </c>
      <c r="AP231" s="0" t="n">
        <f aca="false">$B231/AP$1</f>
        <v>0.00184247538677918</v>
      </c>
      <c r="AQ231" s="0" t="n">
        <f aca="false">$B231/AQ$1</f>
        <v>0.00179698216735254</v>
      </c>
      <c r="AR231" s="0" t="n">
        <f aca="false">$B231/AR$1</f>
        <v>0.00175368139223561</v>
      </c>
      <c r="AS231" s="0" t="n">
        <f aca="false">$B231/AS$1</f>
        <v>0.00171241830065359</v>
      </c>
      <c r="AT231" s="0" t="n">
        <f aca="false">$B231/AT$1</f>
        <v>0.00167305236270754</v>
      </c>
      <c r="AU231" s="0" t="n">
        <f aca="false">$B231/AU$1</f>
        <v>0.0016354556803995</v>
      </c>
      <c r="AV231" s="0" t="n">
        <f aca="false">$B231/AV$1</f>
        <v>0.0015995115995116</v>
      </c>
      <c r="AW231" s="0" t="n">
        <f aca="false">$B231/AW$1</f>
        <v>0.00156511350059737</v>
      </c>
      <c r="AX231" s="0" t="n">
        <f aca="false">$B231/AX$1</f>
        <v>0.00153216374269006</v>
      </c>
      <c r="AY231" s="0" t="n">
        <f aca="false">$B231/AY$1</f>
        <v>0.00150057273768614</v>
      </c>
      <c r="AZ231" s="0" t="n">
        <f aca="false">$B231/AZ$1</f>
        <v>0.0014702581369248</v>
      </c>
      <c r="BA231" s="0" t="n">
        <f aca="false">$B231/BA$1</f>
        <v>0.00144114411441144</v>
      </c>
      <c r="BB231" s="0" t="n">
        <f aca="false">$B231/BB$1</f>
        <v>0.00141316073354908</v>
      </c>
      <c r="BC231" s="0" t="n">
        <f aca="false">$B231/BC$1</f>
        <v>0.00138624338624339</v>
      </c>
      <c r="BD231" s="0" t="n">
        <f aca="false">$B231/BD$1</f>
        <v>0.00136033229491173</v>
      </c>
      <c r="BE231" s="0" t="n">
        <f aca="false">$B231/BE$1</f>
        <v>0.00133537206931702</v>
      </c>
      <c r="BF231" s="0" t="n">
        <f aca="false">$B231/BF$1</f>
        <v>0.00131131131131131</v>
      </c>
      <c r="BG231" s="0" t="n">
        <f aca="false">$B231/BG$1</f>
        <v>0.00128810226155359</v>
      </c>
      <c r="BH231" s="0" t="n">
        <f aca="false">$B231/BH$1</f>
        <v>0.00126570048309179</v>
      </c>
      <c r="BI231" s="0" t="n">
        <f aca="false">$B231/BI$1</f>
        <v>0.00124406457739791</v>
      </c>
      <c r="BJ231" s="0" t="n">
        <f aca="false">$B231/BJ$1</f>
        <v>0.00122315592903828</v>
      </c>
      <c r="BL231" s="0" t="n">
        <f aca="false">IF($B$228=1,COUNTIF(C231:BJ231,"&gt;="&amp;$C$228),0)</f>
        <v>18</v>
      </c>
      <c r="BM231" s="0" t="n">
        <f aca="false">IF($B$228=1,IF(OR(BS231&gt;=Settings!$B$5,Settings!$C$16&gt;0),MAX(BL231,Settings!$C$16),0),0)</f>
        <v>18</v>
      </c>
      <c r="BN231" s="0" t="n">
        <f aca="false">IF($B$228=1,IF(OR(BS231&gt;=Settings!$B$5,Settings!$C$16&gt;0),MAX(0,(2*MAX(BL231,Settings!$C$16)+1)*$C$228-BS231),MAX(0,Settings!$B$5-BS231)),"")</f>
        <v>0.00737777777777779</v>
      </c>
      <c r="BO231" s="0" t="n">
        <f aca="false">IF($B$228=1,IF(OR(BS231&gt;=Settings!$B$5,Settings!$C$16&gt;0),IF(BL231&lt;=Settings!$C$16,"Protected by electorates",IF(Settings!$C$16=0,MIN(BS231-(2*BL231-1)*$D$228,BS231-Settings!$B$5),BS231-(2*BL231-1)*$D$228)),""),"")</f>
        <v>0.0010466988727858</v>
      </c>
      <c r="BP231" s="0" t="n">
        <f aca="false">IF($B$228=1,IF(OR(BS231&gt;=Settings!$B$5,Settings!$C$16&gt;0),MAX(0,MIN(1,(BS231/$C$228-(2*MAX(BL231,Settings!$C$16)-1))/2)),MIN(1,BS231/Settings!$B$5)),"")</f>
        <v>0.107526881720428</v>
      </c>
      <c r="BQ231" s="0" t="n">
        <f aca="false">IF(AND($B$228=1,COUNTIF(C231:BJ231,$C$228)&gt;0),1,0)</f>
        <v>0</v>
      </c>
      <c r="BR231" s="0" t="n">
        <f aca="false">IF(AND($B$228=1,COUNTIF(C231:BJ231,$D$228)&gt;0),1,0)</f>
        <v>0</v>
      </c>
      <c r="BS231" s="0" t="n">
        <f aca="false">N(IF(Polls!J31="",Polls!J37,Polls!J31))</f>
        <v>0.145555555555556</v>
      </c>
      <c r="BT231" s="0" t="str">
        <f aca="false">IF(OR(BS231&gt;=Settings!$B$5,Settings!$C$16&gt;0),"Next seat","Threshold")</f>
        <v>Next seat</v>
      </c>
    </row>
    <row r="232" customFormat="false" ht="15" hidden="false" customHeight="false" outlineLevel="0" collapsed="false">
      <c r="A232" s="0" t="s">
        <v>46</v>
      </c>
      <c r="B232" s="0" t="n">
        <f aca="false">IF(OR(BS232&gt;=Settings!$B$5,Settings!$C$17&gt;0),BS232,0)</f>
        <v>0.0963333333333333</v>
      </c>
      <c r="C232" s="0" t="n">
        <f aca="false">$B232/C$1</f>
        <v>0.0963333333333333</v>
      </c>
      <c r="D232" s="0" t="n">
        <f aca="false">$B232/D$1</f>
        <v>0.0321111111111111</v>
      </c>
      <c r="E232" s="0" t="n">
        <f aca="false">$B232/E$1</f>
        <v>0.0192666666666667</v>
      </c>
      <c r="F232" s="0" t="n">
        <f aca="false">$B232/F$1</f>
        <v>0.0137619047619048</v>
      </c>
      <c r="G232" s="0" t="n">
        <f aca="false">$B232/G$1</f>
        <v>0.0107037037037037</v>
      </c>
      <c r="H232" s="0" t="n">
        <f aca="false">$B232/H$1</f>
        <v>0.00875757575757576</v>
      </c>
      <c r="I232" s="0" t="n">
        <f aca="false">$B232/I$1</f>
        <v>0.00741025641025641</v>
      </c>
      <c r="J232" s="0" t="n">
        <f aca="false">$B232/J$1</f>
        <v>0.00642222222222222</v>
      </c>
      <c r="K232" s="0" t="n">
        <f aca="false">$B232/K$1</f>
        <v>0.00566666666666667</v>
      </c>
      <c r="L232" s="0" t="n">
        <f aca="false">$B232/L$1</f>
        <v>0.00507017543859649</v>
      </c>
      <c r="M232" s="0" t="n">
        <f aca="false">$B232/M$1</f>
        <v>0.00458730158730159</v>
      </c>
      <c r="N232" s="0" t="n">
        <f aca="false">$B232/N$1</f>
        <v>0.00418840579710145</v>
      </c>
      <c r="O232" s="0" t="n">
        <f aca="false">$B232/O$1</f>
        <v>0.00385333333333333</v>
      </c>
      <c r="P232" s="0" t="n">
        <f aca="false">$B232/P$1</f>
        <v>0.0035679012345679</v>
      </c>
      <c r="Q232" s="0" t="n">
        <f aca="false">$B232/Q$1</f>
        <v>0.00332183908045977</v>
      </c>
      <c r="R232" s="0" t="n">
        <f aca="false">$B232/R$1</f>
        <v>0.00310752688172043</v>
      </c>
      <c r="S232" s="0" t="n">
        <f aca="false">$B232/S$1</f>
        <v>0.00291919191919192</v>
      </c>
      <c r="T232" s="0" t="n">
        <f aca="false">$B232/T$1</f>
        <v>0.00275238095238095</v>
      </c>
      <c r="U232" s="0" t="n">
        <f aca="false">$B232/U$1</f>
        <v>0.0026036036036036</v>
      </c>
      <c r="V232" s="0" t="n">
        <f aca="false">$B232/V$1</f>
        <v>0.00247008547008547</v>
      </c>
      <c r="W232" s="0" t="n">
        <f aca="false">$B232/W$1</f>
        <v>0.00234959349593496</v>
      </c>
      <c r="X232" s="0" t="n">
        <f aca="false">$B232/X$1</f>
        <v>0.00224031007751938</v>
      </c>
      <c r="Y232" s="0" t="n">
        <f aca="false">$B232/Y$1</f>
        <v>0.00214074074074074</v>
      </c>
      <c r="Z232" s="0" t="n">
        <f aca="false">$B232/Z$1</f>
        <v>0.00204964539007092</v>
      </c>
      <c r="AA232" s="0" t="n">
        <f aca="false">$B232/AA$1</f>
        <v>0.00196598639455782</v>
      </c>
      <c r="AB232" s="0" t="n">
        <f aca="false">$B232/AB$1</f>
        <v>0.00188888888888889</v>
      </c>
      <c r="AC232" s="0" t="n">
        <f aca="false">$B232/AC$1</f>
        <v>0.00181761006289308</v>
      </c>
      <c r="AD232" s="0" t="n">
        <f aca="false">$B232/AD$1</f>
        <v>0.00175151515151515</v>
      </c>
      <c r="AE232" s="0" t="n">
        <f aca="false">$B232/AE$1</f>
        <v>0.00169005847953216</v>
      </c>
      <c r="AF232" s="0" t="n">
        <f aca="false">$B232/AF$1</f>
        <v>0.00163276836158192</v>
      </c>
      <c r="AG232" s="0" t="n">
        <f aca="false">$B232/AG$1</f>
        <v>0.0015792349726776</v>
      </c>
      <c r="AH232" s="0" t="n">
        <f aca="false">$B232/AH$1</f>
        <v>0.00152910052910053</v>
      </c>
      <c r="AI232" s="0" t="n">
        <f aca="false">$B232/AI$1</f>
        <v>0.00148205128205128</v>
      </c>
      <c r="AJ232" s="0" t="n">
        <f aca="false">$B232/AJ$1</f>
        <v>0.00143781094527363</v>
      </c>
      <c r="AK232" s="0" t="n">
        <f aca="false">$B232/AK$1</f>
        <v>0.00139613526570048</v>
      </c>
      <c r="AL232" s="0" t="n">
        <f aca="false">$B232/AL$1</f>
        <v>0.00135680751173709</v>
      </c>
      <c r="AM232" s="0" t="n">
        <f aca="false">$B232/AM$1</f>
        <v>0.00131963470319635</v>
      </c>
      <c r="AN232" s="0" t="n">
        <f aca="false">$B232/AN$1</f>
        <v>0.00128444444444444</v>
      </c>
      <c r="AO232" s="0" t="n">
        <f aca="false">$B232/AO$1</f>
        <v>0.00125108225108225</v>
      </c>
      <c r="AP232" s="0" t="n">
        <f aca="false">$B232/AP$1</f>
        <v>0.00121940928270042</v>
      </c>
      <c r="AQ232" s="0" t="n">
        <f aca="false">$B232/AQ$1</f>
        <v>0.00118930041152263</v>
      </c>
      <c r="AR232" s="0" t="n">
        <f aca="false">$B232/AR$1</f>
        <v>0.00116064257028112</v>
      </c>
      <c r="AS232" s="0" t="n">
        <f aca="false">$B232/AS$1</f>
        <v>0.00113333333333333</v>
      </c>
      <c r="AT232" s="0" t="n">
        <f aca="false">$B232/AT$1</f>
        <v>0.00110727969348659</v>
      </c>
      <c r="AU232" s="0" t="n">
        <f aca="false">$B232/AU$1</f>
        <v>0.00108239700374532</v>
      </c>
      <c r="AV232" s="0" t="n">
        <f aca="false">$B232/AV$1</f>
        <v>0.00105860805860806</v>
      </c>
      <c r="AW232" s="0" t="n">
        <f aca="false">$B232/AW$1</f>
        <v>0.00103584229390681</v>
      </c>
      <c r="AX232" s="0" t="n">
        <f aca="false">$B232/AX$1</f>
        <v>0.0010140350877193</v>
      </c>
      <c r="AY232" s="0" t="n">
        <f aca="false">$B232/AY$1</f>
        <v>0.000993127147766323</v>
      </c>
      <c r="AZ232" s="0" t="n">
        <f aca="false">$B232/AZ$1</f>
        <v>0.000973063973063973</v>
      </c>
      <c r="BA232" s="0" t="n">
        <f aca="false">$B232/BA$1</f>
        <v>0.000953795379537954</v>
      </c>
      <c r="BB232" s="0" t="n">
        <f aca="false">$B232/BB$1</f>
        <v>0.000935275080906149</v>
      </c>
      <c r="BC232" s="0" t="n">
        <f aca="false">$B232/BC$1</f>
        <v>0.000917460317460317</v>
      </c>
      <c r="BD232" s="0" t="n">
        <f aca="false">$B232/BD$1</f>
        <v>0.000900311526479751</v>
      </c>
      <c r="BE232" s="0" t="n">
        <f aca="false">$B232/BE$1</f>
        <v>0.000883792048929664</v>
      </c>
      <c r="BF232" s="0" t="n">
        <f aca="false">$B232/BF$1</f>
        <v>0.000867867867867868</v>
      </c>
      <c r="BG232" s="0" t="n">
        <f aca="false">$B232/BG$1</f>
        <v>0.000852507374631268</v>
      </c>
      <c r="BH232" s="0" t="n">
        <f aca="false">$B232/BH$1</f>
        <v>0.00083768115942029</v>
      </c>
      <c r="BI232" s="0" t="n">
        <f aca="false">$B232/BI$1</f>
        <v>0.000823361823361823</v>
      </c>
      <c r="BJ232" s="0" t="n">
        <f aca="false">$B232/BJ$1</f>
        <v>0.00080952380952381</v>
      </c>
      <c r="BL232" s="0" t="n">
        <f aca="false">IF($B$228=1,COUNTIF(C232:BJ232,"&gt;="&amp;$C$228),0)</f>
        <v>12</v>
      </c>
      <c r="BM232" s="0" t="n">
        <f aca="false">IF($B$228=1,IF(OR(BS232&gt;=Settings!$B$5,Settings!$C$17&gt;0),MAX(BL232,Settings!$C$17),0),0)</f>
        <v>12</v>
      </c>
      <c r="BN232" s="0" t="n">
        <f aca="false">IF($B$228=1,IF(OR(BS232&gt;=Settings!$B$5,Settings!$C$17&gt;0),MAX(0,(2*MAX(BL232,Settings!$C$17)+1)*$C$228-BS232),MAX(0,Settings!$B$5-BS232)),"")</f>
        <v>0.00700000000000001</v>
      </c>
      <c r="BO232" s="0" t="n">
        <f aca="false">IF($B$228=1,IF(OR(BS232&gt;=Settings!$B$5,Settings!$C$17&gt;0),IF(BL232&lt;=Settings!$C$17,"Protected by electorates",IF(Settings!$C$17=0,MIN(BS232-(2*BL232-1)*$D$228,BS232-Settings!$B$5),BS232-(2*BL232-1)*$D$228)),""),"")</f>
        <v>0.00137037037037036</v>
      </c>
      <c r="BP232" s="0" t="n">
        <f aca="false">IF($B$228=1,IF(OR(BS232&gt;=Settings!$B$5,Settings!$C$17&gt;0),MAX(0,MIN(1,(BS232/$C$228-(2*MAX(BL232,Settings!$C$17)-1))/2)),MIN(1,BS232/Settings!$B$5)),"")</f>
        <v>0.153225806451612</v>
      </c>
      <c r="BQ232" s="0" t="n">
        <f aca="false">IF(AND($B$228=1,COUNTIF(C232:BJ232,$C$228)&gt;0),1,0)</f>
        <v>0</v>
      </c>
      <c r="BR232" s="0" t="n">
        <f aca="false">IF(AND($B$228=1,COUNTIF(C232:BJ232,$D$228)&gt;0),1,0)</f>
        <v>0</v>
      </c>
      <c r="BS232" s="0" t="n">
        <f aca="false">N(IF(Polls!K31="",Polls!K37,Polls!K31))</f>
        <v>0.0963333333333333</v>
      </c>
      <c r="BT232" s="0" t="str">
        <f aca="false">IF(OR(BS232&gt;=Settings!$B$5,Settings!$C$17&gt;0),"Next seat","Threshold")</f>
        <v>Next seat</v>
      </c>
    </row>
    <row r="233" customFormat="false" ht="15" hidden="false" customHeight="false" outlineLevel="0" collapsed="false">
      <c r="A233" s="0" t="s">
        <v>48</v>
      </c>
      <c r="B233" s="0" t="n">
        <f aca="false">IF(OR(BS233&gt;=Settings!$B$5,Settings!$C$18&gt;0),BS233,0)</f>
        <v>0.103333333333333</v>
      </c>
      <c r="C233" s="0" t="n">
        <f aca="false">$B233/C$1</f>
        <v>0.103333333333333</v>
      </c>
      <c r="D233" s="0" t="n">
        <f aca="false">$B233/D$1</f>
        <v>0.0344444444444444</v>
      </c>
      <c r="E233" s="0" t="n">
        <f aca="false">$B233/E$1</f>
        <v>0.0206666666666667</v>
      </c>
      <c r="F233" s="0" t="n">
        <f aca="false">$B233/F$1</f>
        <v>0.0147619047619048</v>
      </c>
      <c r="G233" s="0" t="n">
        <f aca="false">$B233/G$1</f>
        <v>0.0114814814814815</v>
      </c>
      <c r="H233" s="0" t="n">
        <f aca="false">$B233/H$1</f>
        <v>0.00939393939393939</v>
      </c>
      <c r="I233" s="0" t="n">
        <f aca="false">$B233/I$1</f>
        <v>0.00794871794871795</v>
      </c>
      <c r="J233" s="0" t="n">
        <f aca="false">$B233/J$1</f>
        <v>0.00688888888888889</v>
      </c>
      <c r="K233" s="0" t="n">
        <f aca="false">$B233/K$1</f>
        <v>0.00607843137254902</v>
      </c>
      <c r="L233" s="0" t="n">
        <f aca="false">$B233/L$1</f>
        <v>0.00543859649122807</v>
      </c>
      <c r="M233" s="0" t="n">
        <f aca="false">$B233/M$1</f>
        <v>0.00492063492063492</v>
      </c>
      <c r="N233" s="0" t="n">
        <f aca="false">$B233/N$1</f>
        <v>0.00449275362318841</v>
      </c>
      <c r="O233" s="0" t="n">
        <f aca="false">$B233/O$1</f>
        <v>0.00413333333333333</v>
      </c>
      <c r="P233" s="0" t="n">
        <f aca="false">$B233/P$1</f>
        <v>0.00382716049382716</v>
      </c>
      <c r="Q233" s="0" t="n">
        <f aca="false">$B233/Q$1</f>
        <v>0.0035632183908046</v>
      </c>
      <c r="R233" s="0" t="n">
        <f aca="false">$B233/R$1</f>
        <v>0.00333333333333333</v>
      </c>
      <c r="S233" s="0" t="n">
        <f aca="false">$B233/S$1</f>
        <v>0.00313131313131313</v>
      </c>
      <c r="T233" s="0" t="n">
        <f aca="false">$B233/T$1</f>
        <v>0.00295238095238095</v>
      </c>
      <c r="U233" s="0" t="n">
        <f aca="false">$B233/U$1</f>
        <v>0.00279279279279279</v>
      </c>
      <c r="V233" s="0" t="n">
        <f aca="false">$B233/V$1</f>
        <v>0.00264957264957265</v>
      </c>
      <c r="W233" s="0" t="n">
        <f aca="false">$B233/W$1</f>
        <v>0.00252032520325203</v>
      </c>
      <c r="X233" s="0" t="n">
        <f aca="false">$B233/X$1</f>
        <v>0.0024031007751938</v>
      </c>
      <c r="Y233" s="0" t="n">
        <f aca="false">$B233/Y$1</f>
        <v>0.0022962962962963</v>
      </c>
      <c r="Z233" s="0" t="n">
        <f aca="false">$B233/Z$1</f>
        <v>0.00219858156028369</v>
      </c>
      <c r="AA233" s="0" t="n">
        <f aca="false">$B233/AA$1</f>
        <v>0.00210884353741497</v>
      </c>
      <c r="AB233" s="0" t="n">
        <f aca="false">$B233/AB$1</f>
        <v>0.00202614379084967</v>
      </c>
      <c r="AC233" s="0" t="n">
        <f aca="false">$B233/AC$1</f>
        <v>0.0019496855345912</v>
      </c>
      <c r="AD233" s="0" t="n">
        <f aca="false">$B233/AD$1</f>
        <v>0.00187878787878788</v>
      </c>
      <c r="AE233" s="0" t="n">
        <f aca="false">$B233/AE$1</f>
        <v>0.00181286549707602</v>
      </c>
      <c r="AF233" s="0" t="n">
        <f aca="false">$B233/AF$1</f>
        <v>0.00175141242937853</v>
      </c>
      <c r="AG233" s="0" t="n">
        <f aca="false">$B233/AG$1</f>
        <v>0.00169398907103825</v>
      </c>
      <c r="AH233" s="0" t="n">
        <f aca="false">$B233/AH$1</f>
        <v>0.00164021164021164</v>
      </c>
      <c r="AI233" s="0" t="n">
        <f aca="false">$B233/AI$1</f>
        <v>0.00158974358974359</v>
      </c>
      <c r="AJ233" s="0" t="n">
        <f aca="false">$B233/AJ$1</f>
        <v>0.00154228855721393</v>
      </c>
      <c r="AK233" s="0" t="n">
        <f aca="false">$B233/AK$1</f>
        <v>0.0014975845410628</v>
      </c>
      <c r="AL233" s="0" t="n">
        <f aca="false">$B233/AL$1</f>
        <v>0.00145539906103286</v>
      </c>
      <c r="AM233" s="0" t="n">
        <f aca="false">$B233/AM$1</f>
        <v>0.00141552511415525</v>
      </c>
      <c r="AN233" s="0" t="n">
        <f aca="false">$B233/AN$1</f>
        <v>0.00137777777777778</v>
      </c>
      <c r="AO233" s="0" t="n">
        <f aca="false">$B233/AO$1</f>
        <v>0.00134199134199134</v>
      </c>
      <c r="AP233" s="0" t="n">
        <f aca="false">$B233/AP$1</f>
        <v>0.00130801687763713</v>
      </c>
      <c r="AQ233" s="0" t="n">
        <f aca="false">$B233/AQ$1</f>
        <v>0.00127572016460905</v>
      </c>
      <c r="AR233" s="0" t="n">
        <f aca="false">$B233/AR$1</f>
        <v>0.00124497991967872</v>
      </c>
      <c r="AS233" s="0" t="n">
        <f aca="false">$B233/AS$1</f>
        <v>0.0012156862745098</v>
      </c>
      <c r="AT233" s="0" t="n">
        <f aca="false">$B233/AT$1</f>
        <v>0.00118773946360153</v>
      </c>
      <c r="AU233" s="0" t="n">
        <f aca="false">$B233/AU$1</f>
        <v>0.00116104868913858</v>
      </c>
      <c r="AV233" s="0" t="n">
        <f aca="false">$B233/AV$1</f>
        <v>0.00113553113553114</v>
      </c>
      <c r="AW233" s="0" t="n">
        <f aca="false">$B233/AW$1</f>
        <v>0.00111111111111111</v>
      </c>
      <c r="AX233" s="0" t="n">
        <f aca="false">$B233/AX$1</f>
        <v>0.00108771929824561</v>
      </c>
      <c r="AY233" s="0" t="n">
        <f aca="false">$B233/AY$1</f>
        <v>0.00106529209621993</v>
      </c>
      <c r="AZ233" s="0" t="n">
        <f aca="false">$B233/AZ$1</f>
        <v>0.00104377104377104</v>
      </c>
      <c r="BA233" s="0" t="n">
        <f aca="false">$B233/BA$1</f>
        <v>0.00102310231023102</v>
      </c>
      <c r="BB233" s="0" t="n">
        <f aca="false">$B233/BB$1</f>
        <v>0.00100323624595469</v>
      </c>
      <c r="BC233" s="0" t="n">
        <f aca="false">$B233/BC$1</f>
        <v>0.000984126984126984</v>
      </c>
      <c r="BD233" s="0" t="n">
        <f aca="false">$B233/BD$1</f>
        <v>0.000965732087227414</v>
      </c>
      <c r="BE233" s="0" t="n">
        <f aca="false">$B233/BE$1</f>
        <v>0.000948012232415902</v>
      </c>
      <c r="BF233" s="0" t="n">
        <f aca="false">$B233/BF$1</f>
        <v>0.000930930930930931</v>
      </c>
      <c r="BG233" s="0" t="n">
        <f aca="false">$B233/BG$1</f>
        <v>0.000914454277286136</v>
      </c>
      <c r="BH233" s="0" t="n">
        <f aca="false">$B233/BH$1</f>
        <v>0.000898550724637681</v>
      </c>
      <c r="BI233" s="0" t="n">
        <f aca="false">$B233/BI$1</f>
        <v>0.000883190883190883</v>
      </c>
      <c r="BJ233" s="0" t="n">
        <f aca="false">$B233/BJ$1</f>
        <v>0.000868347338935574</v>
      </c>
      <c r="BL233" s="0" t="n">
        <f aca="false">IF($B$228=1,COUNTIF(C233:BJ233,"&gt;="&amp;$C$228),0)</f>
        <v>13</v>
      </c>
      <c r="BM233" s="0" t="n">
        <f aca="false">IF($B$228=1,IF(OR(BS233&gt;=Settings!$B$5,Settings!$C$18&gt;0),MAX(BL233,Settings!$C$18),0),0)</f>
        <v>13</v>
      </c>
      <c r="BN233" s="0" t="n">
        <f aca="false">IF($B$228=1,IF(OR(BS233&gt;=Settings!$B$5,Settings!$C$18&gt;0),MAX(0,(2*MAX(BL233,Settings!$C$18)+1)*$C$228-BS233),MAX(0,Settings!$B$5-BS233)),"")</f>
        <v>0.00826666666666667</v>
      </c>
      <c r="BO233" s="0" t="n">
        <f aca="false">IF($B$228=1,IF(OR(BS233&gt;=Settings!$B$5,Settings!$C$18&gt;0),IF(BL233&lt;=Settings!$C$18,"Protected by electorates",IF(Settings!$C$18=0,MIN(BS233-(2*BL233-1)*$D$228,BS233-Settings!$B$5),BS233-(2*BL233-1)*$D$228)),""),"")</f>
        <v>0.000112721417069223</v>
      </c>
      <c r="BP233" s="0" t="n">
        <f aca="false">IF($B$228=1,IF(OR(BS233&gt;=Settings!$B$5,Settings!$C$18&gt;0),MAX(0,MIN(1,(BS233/$C$228-(2*MAX(BL233,Settings!$C$18)-1))/2)),MIN(1,BS233/Settings!$B$5)),"")</f>
        <v>0</v>
      </c>
      <c r="BQ233" s="0" t="n">
        <f aca="false">IF(AND($B$228=1,COUNTIF(C233:BJ233,$C$228)&gt;0),1,0)</f>
        <v>1</v>
      </c>
      <c r="BR233" s="0" t="n">
        <f aca="false">IF(AND($B$228=1,COUNTIF(C233:BJ233,$D$228)&gt;0),1,0)</f>
        <v>0</v>
      </c>
      <c r="BS233" s="0" t="n">
        <f aca="false">N(IF(Polls!L31="",Polls!L37,Polls!L31))</f>
        <v>0.103333333333333</v>
      </c>
      <c r="BT233" s="0" t="str">
        <f aca="false">IF(OR(BS233&gt;=Settings!$B$5,Settings!$C$18&gt;0),"Next seat","Threshold")</f>
        <v>Next seat</v>
      </c>
    </row>
    <row r="234" customFormat="false" ht="15" hidden="false" customHeight="false" outlineLevel="0" collapsed="false">
      <c r="A234" s="0" t="s">
        <v>50</v>
      </c>
      <c r="B234" s="0" t="n">
        <f aca="false">IF(OR(BS234&gt;=Settings!$B$5,Settings!$C$19&gt;0),BS234,0)</f>
        <v>0.0145</v>
      </c>
      <c r="C234" s="0" t="n">
        <f aca="false">$B234/C$1</f>
        <v>0.0145</v>
      </c>
      <c r="D234" s="0" t="n">
        <f aca="false">$B234/D$1</f>
        <v>0.00483333333333333</v>
      </c>
      <c r="E234" s="0" t="n">
        <f aca="false">$B234/E$1</f>
        <v>0.0029</v>
      </c>
      <c r="F234" s="0" t="n">
        <f aca="false">$B234/F$1</f>
        <v>0.00207142857142857</v>
      </c>
      <c r="G234" s="0" t="n">
        <f aca="false">$B234/G$1</f>
        <v>0.00161111111111111</v>
      </c>
      <c r="H234" s="0" t="n">
        <f aca="false">$B234/H$1</f>
        <v>0.00131818181818182</v>
      </c>
      <c r="I234" s="0" t="n">
        <f aca="false">$B234/I$1</f>
        <v>0.00111538461538462</v>
      </c>
      <c r="J234" s="0" t="n">
        <f aca="false">$B234/J$1</f>
        <v>0.000966666666666667</v>
      </c>
      <c r="K234" s="0" t="n">
        <f aca="false">$B234/K$1</f>
        <v>0.000852941176470588</v>
      </c>
      <c r="L234" s="0" t="n">
        <f aca="false">$B234/L$1</f>
        <v>0.000763157894736842</v>
      </c>
      <c r="M234" s="0" t="n">
        <f aca="false">$B234/M$1</f>
        <v>0.000690476190476191</v>
      </c>
      <c r="N234" s="0" t="n">
        <f aca="false">$B234/N$1</f>
        <v>0.000630434782608696</v>
      </c>
      <c r="O234" s="0" t="n">
        <f aca="false">$B234/O$1</f>
        <v>0.00058</v>
      </c>
      <c r="P234" s="0" t="n">
        <f aca="false">$B234/P$1</f>
        <v>0.000537037037037037</v>
      </c>
      <c r="Q234" s="0" t="n">
        <f aca="false">$B234/Q$1</f>
        <v>0.0005</v>
      </c>
      <c r="R234" s="0" t="n">
        <f aca="false">$B234/R$1</f>
        <v>0.000467741935483871</v>
      </c>
      <c r="S234" s="0" t="n">
        <f aca="false">$B234/S$1</f>
        <v>0.000439393939393939</v>
      </c>
      <c r="T234" s="0" t="n">
        <f aca="false">$B234/T$1</f>
        <v>0.000414285714285714</v>
      </c>
      <c r="U234" s="0" t="n">
        <f aca="false">$B234/U$1</f>
        <v>0.000391891891891892</v>
      </c>
      <c r="V234" s="0" t="n">
        <f aca="false">$B234/V$1</f>
        <v>0.000371794871794872</v>
      </c>
      <c r="W234" s="0" t="n">
        <f aca="false">$B234/W$1</f>
        <v>0.000353658536585366</v>
      </c>
      <c r="X234" s="0" t="n">
        <f aca="false">$B234/X$1</f>
        <v>0.000337209302325581</v>
      </c>
      <c r="Y234" s="0" t="n">
        <f aca="false">$B234/Y$1</f>
        <v>0.000322222222222222</v>
      </c>
      <c r="Z234" s="0" t="n">
        <f aca="false">$B234/Z$1</f>
        <v>0.000308510638297872</v>
      </c>
      <c r="AA234" s="0" t="n">
        <f aca="false">$B234/AA$1</f>
        <v>0.000295918367346939</v>
      </c>
      <c r="AB234" s="0" t="n">
        <f aca="false">$B234/AB$1</f>
        <v>0.000284313725490196</v>
      </c>
      <c r="AC234" s="0" t="n">
        <f aca="false">$B234/AC$1</f>
        <v>0.000273584905660377</v>
      </c>
      <c r="AD234" s="0" t="n">
        <f aca="false">$B234/AD$1</f>
        <v>0.000263636363636364</v>
      </c>
      <c r="AE234" s="0" t="n">
        <f aca="false">$B234/AE$1</f>
        <v>0.000254385964912281</v>
      </c>
      <c r="AF234" s="0" t="n">
        <f aca="false">$B234/AF$1</f>
        <v>0.000245762711864407</v>
      </c>
      <c r="AG234" s="0" t="n">
        <f aca="false">$B234/AG$1</f>
        <v>0.000237704918032787</v>
      </c>
      <c r="AH234" s="0" t="n">
        <f aca="false">$B234/AH$1</f>
        <v>0.00023015873015873</v>
      </c>
      <c r="AI234" s="0" t="n">
        <f aca="false">$B234/AI$1</f>
        <v>0.000223076923076923</v>
      </c>
      <c r="AJ234" s="0" t="n">
        <f aca="false">$B234/AJ$1</f>
        <v>0.000216417910447761</v>
      </c>
      <c r="AK234" s="0" t="n">
        <f aca="false">$B234/AK$1</f>
        <v>0.000210144927536232</v>
      </c>
      <c r="AL234" s="0" t="n">
        <f aca="false">$B234/AL$1</f>
        <v>0.000204225352112676</v>
      </c>
      <c r="AM234" s="0" t="n">
        <f aca="false">$B234/AM$1</f>
        <v>0.000198630136986301</v>
      </c>
      <c r="AN234" s="0" t="n">
        <f aca="false">$B234/AN$1</f>
        <v>0.000193333333333333</v>
      </c>
      <c r="AO234" s="0" t="n">
        <f aca="false">$B234/AO$1</f>
        <v>0.000188311688311688</v>
      </c>
      <c r="AP234" s="0" t="n">
        <f aca="false">$B234/AP$1</f>
        <v>0.000183544303797468</v>
      </c>
      <c r="AQ234" s="0" t="n">
        <f aca="false">$B234/AQ$1</f>
        <v>0.000179012345679012</v>
      </c>
      <c r="AR234" s="0" t="n">
        <f aca="false">$B234/AR$1</f>
        <v>0.000174698795180723</v>
      </c>
      <c r="AS234" s="0" t="n">
        <f aca="false">$B234/AS$1</f>
        <v>0.000170588235294118</v>
      </c>
      <c r="AT234" s="0" t="n">
        <f aca="false">$B234/AT$1</f>
        <v>0.000166666666666667</v>
      </c>
      <c r="AU234" s="0" t="n">
        <f aca="false">$B234/AU$1</f>
        <v>0.000162921348314607</v>
      </c>
      <c r="AV234" s="0" t="n">
        <f aca="false">$B234/AV$1</f>
        <v>0.000159340659340659</v>
      </c>
      <c r="AW234" s="0" t="n">
        <f aca="false">$B234/AW$1</f>
        <v>0.000155913978494624</v>
      </c>
      <c r="AX234" s="0" t="n">
        <f aca="false">$B234/AX$1</f>
        <v>0.000152631578947368</v>
      </c>
      <c r="AY234" s="0" t="n">
        <f aca="false">$B234/AY$1</f>
        <v>0.000149484536082474</v>
      </c>
      <c r="AZ234" s="0" t="n">
        <f aca="false">$B234/AZ$1</f>
        <v>0.000146464646464646</v>
      </c>
      <c r="BA234" s="0" t="n">
        <f aca="false">$B234/BA$1</f>
        <v>0.000143564356435644</v>
      </c>
      <c r="BB234" s="0" t="n">
        <f aca="false">$B234/BB$1</f>
        <v>0.000140776699029126</v>
      </c>
      <c r="BC234" s="0" t="n">
        <f aca="false">$B234/BC$1</f>
        <v>0.000138095238095238</v>
      </c>
      <c r="BD234" s="0" t="n">
        <f aca="false">$B234/BD$1</f>
        <v>0.000135514018691589</v>
      </c>
      <c r="BE234" s="0" t="n">
        <f aca="false">$B234/BE$1</f>
        <v>0.00013302752293578</v>
      </c>
      <c r="BF234" s="0" t="n">
        <f aca="false">$B234/BF$1</f>
        <v>0.000130630630630631</v>
      </c>
      <c r="BG234" s="0" t="n">
        <f aca="false">$B234/BG$1</f>
        <v>0.000128318584070796</v>
      </c>
      <c r="BH234" s="0" t="n">
        <f aca="false">$B234/BH$1</f>
        <v>0.000126086956521739</v>
      </c>
      <c r="BI234" s="0" t="n">
        <f aca="false">$B234/BI$1</f>
        <v>0.000123931623931624</v>
      </c>
      <c r="BJ234" s="0" t="n">
        <f aca="false">$B234/BJ$1</f>
        <v>0.000121848739495798</v>
      </c>
      <c r="BL234" s="0" t="n">
        <f aca="false">IF($B$228=1,COUNTIF(C234:BJ234,"&gt;="&amp;$C$228),0)</f>
        <v>2</v>
      </c>
      <c r="BM234" s="0" t="n">
        <f aca="false">IF($B$228=1,IF(OR(BS234&gt;=Settings!$B$5,Settings!$C$19&gt;0),MAX(BL234,Settings!$C$19),0),0)</f>
        <v>4</v>
      </c>
      <c r="BN234" s="0" t="n">
        <f aca="false">IF($B$228=1,IF(OR(BS234&gt;=Settings!$B$5,Settings!$C$19&gt;0),MAX(0,(2*MAX(BL234,Settings!$C$19)+1)*$C$228-BS234),MAX(0,Settings!$B$5-BS234)),"")</f>
        <v>0.0227</v>
      </c>
      <c r="BO234" s="0" t="str">
        <f aca="false">IF($B$228=1,IF(OR(BS234&gt;=Settings!$B$5,Settings!$C$19&gt;0),IF(BL234&lt;=Settings!$C$19,"Protected by electorates",IF(Settings!$C$19=0,MIN(BS234-(2*BL234-1)*$D$228,BS234-Settings!$B$5),BS234-(2*BL234-1)*$D$228)),""),"")</f>
        <v>Protected by electorates</v>
      </c>
      <c r="BP234" s="0" t="n">
        <f aca="false">IF($B$228=1,IF(OR(BS234&gt;=Settings!$B$5,Settings!$C$19&gt;0),MAX(0,MIN(1,(BS234/$C$228-(2*MAX(BL234,Settings!$C$19)-1))/2)),MIN(1,BS234/Settings!$B$5)),"")</f>
        <v>0</v>
      </c>
      <c r="BQ234" s="0" t="n">
        <f aca="false">IF(AND($B$228=1,COUNTIF(C234:BJ234,$C$228)&gt;0),1,0)</f>
        <v>0</v>
      </c>
      <c r="BR234" s="0" t="n">
        <f aca="false">IF(AND($B$228=1,COUNTIF(C234:BJ234,$D$228)&gt;0),1,0)</f>
        <v>0</v>
      </c>
      <c r="BS234" s="0" t="n">
        <f aca="false">N(IF(Polls!M31="",Polls!M37,Polls!M31))</f>
        <v>0.0145</v>
      </c>
      <c r="BT234" s="0" t="str">
        <f aca="false">IF(OR(BS234&gt;=Settings!$B$5,Settings!$C$19&gt;0),"Next seat","Threshold")</f>
        <v>Next seat</v>
      </c>
    </row>
    <row r="235" customFormat="false" ht="15" hidden="false" customHeight="false" outlineLevel="0" collapsed="false">
      <c r="A235" s="0" t="s">
        <v>52</v>
      </c>
      <c r="B235" s="0" t="n">
        <f aca="false">IF(OR(BS235&gt;=Settings!$B$5,Settings!$C$20&gt;0),BS235,0)</f>
        <v>0.0614444444444445</v>
      </c>
      <c r="C235" s="0" t="n">
        <f aca="false">$B235/C$1</f>
        <v>0.0614444444444445</v>
      </c>
      <c r="D235" s="0" t="n">
        <f aca="false">$B235/D$1</f>
        <v>0.0204814814814815</v>
      </c>
      <c r="E235" s="0" t="n">
        <f aca="false">$B235/E$1</f>
        <v>0.0122888888888889</v>
      </c>
      <c r="F235" s="0" t="n">
        <f aca="false">$B235/F$1</f>
        <v>0.00877777777777778</v>
      </c>
      <c r="G235" s="0" t="n">
        <f aca="false">$B235/G$1</f>
        <v>0.00682716049382716</v>
      </c>
      <c r="H235" s="0" t="n">
        <f aca="false">$B235/H$1</f>
        <v>0.00558585858585859</v>
      </c>
      <c r="I235" s="0" t="n">
        <f aca="false">$B235/I$1</f>
        <v>0.00472649572649573</v>
      </c>
      <c r="J235" s="0" t="n">
        <f aca="false">$B235/J$1</f>
        <v>0.0040962962962963</v>
      </c>
      <c r="K235" s="0" t="n">
        <f aca="false">$B235/K$1</f>
        <v>0.00361437908496732</v>
      </c>
      <c r="L235" s="0" t="n">
        <f aca="false">$B235/L$1</f>
        <v>0.00323391812865497</v>
      </c>
      <c r="M235" s="0" t="n">
        <f aca="false">$B235/M$1</f>
        <v>0.00292592592592593</v>
      </c>
      <c r="N235" s="0" t="n">
        <f aca="false">$B235/N$1</f>
        <v>0.00267149758454106</v>
      </c>
      <c r="O235" s="0" t="n">
        <f aca="false">$B235/O$1</f>
        <v>0.00245777777777778</v>
      </c>
      <c r="P235" s="0" t="n">
        <f aca="false">$B235/P$1</f>
        <v>0.00227572016460905</v>
      </c>
      <c r="Q235" s="0" t="n">
        <f aca="false">$B235/Q$1</f>
        <v>0.00211877394636015</v>
      </c>
      <c r="R235" s="0" t="n">
        <f aca="false">$B235/R$1</f>
        <v>0.0019820788530466</v>
      </c>
      <c r="S235" s="0" t="n">
        <f aca="false">$B235/S$1</f>
        <v>0.00186195286195286</v>
      </c>
      <c r="T235" s="0" t="n">
        <f aca="false">$B235/T$1</f>
        <v>0.00175555555555556</v>
      </c>
      <c r="U235" s="0" t="n">
        <f aca="false">$B235/U$1</f>
        <v>0.00166066066066066</v>
      </c>
      <c r="V235" s="0" t="n">
        <f aca="false">$B235/V$1</f>
        <v>0.00157549857549858</v>
      </c>
      <c r="W235" s="0" t="n">
        <f aca="false">$B235/W$1</f>
        <v>0.00149864498644986</v>
      </c>
      <c r="X235" s="0" t="n">
        <f aca="false">$B235/X$1</f>
        <v>0.00142894056847545</v>
      </c>
      <c r="Y235" s="0" t="n">
        <f aca="false">$B235/Y$1</f>
        <v>0.00136543209876543</v>
      </c>
      <c r="Z235" s="0" t="n">
        <f aca="false">$B235/Z$1</f>
        <v>0.00130732860520095</v>
      </c>
      <c r="AA235" s="0" t="n">
        <f aca="false">$B235/AA$1</f>
        <v>0.00125396825396825</v>
      </c>
      <c r="AB235" s="0" t="n">
        <f aca="false">$B235/AB$1</f>
        <v>0.00120479302832244</v>
      </c>
      <c r="AC235" s="0" t="n">
        <f aca="false">$B235/AC$1</f>
        <v>0.00115932914046122</v>
      </c>
      <c r="AD235" s="0" t="n">
        <f aca="false">$B235/AD$1</f>
        <v>0.00111717171717172</v>
      </c>
      <c r="AE235" s="0" t="n">
        <f aca="false">$B235/AE$1</f>
        <v>0.00107797270955166</v>
      </c>
      <c r="AF235" s="0" t="n">
        <f aca="false">$B235/AF$1</f>
        <v>0.00104143126177024</v>
      </c>
      <c r="AG235" s="0" t="n">
        <f aca="false">$B235/AG$1</f>
        <v>0.00100728597449909</v>
      </c>
      <c r="AH235" s="0" t="n">
        <f aca="false">$B235/AH$1</f>
        <v>0.000975308641975309</v>
      </c>
      <c r="AI235" s="0" t="n">
        <f aca="false">$B235/AI$1</f>
        <v>0.000945299145299145</v>
      </c>
      <c r="AJ235" s="0" t="n">
        <f aca="false">$B235/AJ$1</f>
        <v>0.000917081260364843</v>
      </c>
      <c r="AK235" s="0" t="n">
        <f aca="false">$B235/AK$1</f>
        <v>0.000890499194847021</v>
      </c>
      <c r="AL235" s="0" t="n">
        <f aca="false">$B235/AL$1</f>
        <v>0.000865414710485133</v>
      </c>
      <c r="AM235" s="0" t="n">
        <f aca="false">$B235/AM$1</f>
        <v>0.000841704718417047</v>
      </c>
      <c r="AN235" s="0" t="n">
        <f aca="false">$B235/AN$1</f>
        <v>0.000819259259259259</v>
      </c>
      <c r="AO235" s="0" t="n">
        <f aca="false">$B235/AO$1</f>
        <v>0.000797979797979798</v>
      </c>
      <c r="AP235" s="0" t="n">
        <f aca="false">$B235/AP$1</f>
        <v>0.000777777777777778</v>
      </c>
      <c r="AQ235" s="0" t="n">
        <f aca="false">$B235/AQ$1</f>
        <v>0.000758573388203018</v>
      </c>
      <c r="AR235" s="0" t="n">
        <f aca="false">$B235/AR$1</f>
        <v>0.000740294511378849</v>
      </c>
      <c r="AS235" s="0" t="n">
        <f aca="false">$B235/AS$1</f>
        <v>0.000722875816993464</v>
      </c>
      <c r="AT235" s="0" t="n">
        <f aca="false">$B235/AT$1</f>
        <v>0.000706257982120051</v>
      </c>
      <c r="AU235" s="0" t="n">
        <f aca="false">$B235/AU$1</f>
        <v>0.000690387016229713</v>
      </c>
      <c r="AV235" s="0" t="n">
        <f aca="false">$B235/AV$1</f>
        <v>0.000675213675213675</v>
      </c>
      <c r="AW235" s="0" t="n">
        <f aca="false">$B235/AW$1</f>
        <v>0.000660692951015532</v>
      </c>
      <c r="AX235" s="0" t="n">
        <f aca="false">$B235/AX$1</f>
        <v>0.000646783625730994</v>
      </c>
      <c r="AY235" s="0" t="n">
        <f aca="false">$B235/AY$1</f>
        <v>0.000633447880870561</v>
      </c>
      <c r="AZ235" s="0" t="n">
        <f aca="false">$B235/AZ$1</f>
        <v>0.000620650953984287</v>
      </c>
      <c r="BA235" s="0" t="n">
        <f aca="false">$B235/BA$1</f>
        <v>0.000608360836083608</v>
      </c>
      <c r="BB235" s="0" t="n">
        <f aca="false">$B235/BB$1</f>
        <v>0.000596548004314995</v>
      </c>
      <c r="BC235" s="0" t="n">
        <f aca="false">$B235/BC$1</f>
        <v>0.000585185185185185</v>
      </c>
      <c r="BD235" s="0" t="n">
        <f aca="false">$B235/BD$1</f>
        <v>0.000574247144340602</v>
      </c>
      <c r="BE235" s="0" t="n">
        <f aca="false">$B235/BE$1</f>
        <v>0.000563710499490316</v>
      </c>
      <c r="BF235" s="0" t="n">
        <f aca="false">$B235/BF$1</f>
        <v>0.000553553553553554</v>
      </c>
      <c r="BG235" s="0" t="n">
        <f aca="false">$B235/BG$1</f>
        <v>0.000543756145526057</v>
      </c>
      <c r="BH235" s="0" t="n">
        <f aca="false">$B235/BH$1</f>
        <v>0.000534299516908213</v>
      </c>
      <c r="BI235" s="0" t="n">
        <f aca="false">$B235/BI$1</f>
        <v>0.000525166191832859</v>
      </c>
      <c r="BJ235" s="0" t="n">
        <f aca="false">$B235/BJ$1</f>
        <v>0.000516339869281046</v>
      </c>
      <c r="BL235" s="0" t="n">
        <f aca="false">IF($B$228=1,COUNTIF(C235:BJ235,"&gt;="&amp;$C$228),0)</f>
        <v>7</v>
      </c>
      <c r="BM235" s="0" t="n">
        <f aca="false">IF($B$228=1,IF(OR(BS235&gt;=Settings!$B$5,Settings!$C$20&gt;0),MAX(BL235,Settings!$C$20),0),0)</f>
        <v>7</v>
      </c>
      <c r="BN235" s="0" t="n">
        <f aca="false">IF($B$228=1,IF(OR(BS235&gt;=Settings!$B$5,Settings!$C$20&gt;0),MAX(0,(2*MAX(BL235,Settings!$C$20)+1)*$C$228-BS235),MAX(0,Settings!$B$5-BS235)),"")</f>
        <v>0.000555555555555552</v>
      </c>
      <c r="BO235" s="0" t="n">
        <f aca="false">IF($B$228=1,IF(OR(BS235&gt;=Settings!$B$5,Settings!$C$20&gt;0),IF(BL235&lt;=Settings!$C$20,"Protected by electorates",IF(Settings!$C$20=0,MIN(BS235-(2*BL235-1)*$D$228,BS235-Settings!$B$5),BS235-(2*BL235-1)*$D$228)),""),"")</f>
        <v>0.00776972624798712</v>
      </c>
      <c r="BP235" s="0" t="n">
        <f aca="false">IF($B$228=1,IF(OR(BS235&gt;=Settings!$B$5,Settings!$C$20&gt;0),MAX(0,MIN(1,(BS235/$C$228-(2*MAX(BL235,Settings!$C$20)-1))/2)),MIN(1,BS235/Settings!$B$5)),"")</f>
        <v>0.932795698924731</v>
      </c>
      <c r="BQ235" s="0" t="n">
        <f aca="false">IF(AND($B$228=1,COUNTIF(C235:BJ235,$C$228)&gt;0),1,0)</f>
        <v>0</v>
      </c>
      <c r="BR235" s="0" t="n">
        <f aca="false">IF(AND($B$228=1,COUNTIF(C235:BJ235,$D$228)&gt;0),1,0)</f>
        <v>0</v>
      </c>
      <c r="BS235" s="0" t="n">
        <f aca="false">N(IF(Polls!N31="",Polls!N37,Polls!N31))</f>
        <v>0.0614444444444445</v>
      </c>
      <c r="BT235" s="0" t="str">
        <f aca="false">IF(OR(BS235&gt;=Settings!$B$5,Settings!$C$20&gt;0),"Next seat","Threshold")</f>
        <v>Next seat</v>
      </c>
    </row>
    <row r="237" customFormat="false" ht="15" hidden="false" customHeight="false" outlineLevel="0" collapsed="false">
      <c r="A237" s="41" t="n">
        <f aca="false">Polls!A32</f>
        <v>0</v>
      </c>
      <c r="B237" s="17" t="n">
        <f aca="false">IF(SUM(BS238:BS244)&gt;0,1,0)</f>
        <v>1</v>
      </c>
      <c r="C237" s="17" t="n">
        <f aca="false">IF(B237=1,LARGE(C238:BJ244,Settings!$B$4),0)</f>
        <v>0.00413333333333333</v>
      </c>
      <c r="D237" s="17" t="n">
        <f aca="false">IF(B237=1,LARGE(C238:BJ244,Settings!$B$4+1),0)</f>
        <v>0.00412882447665056</v>
      </c>
      <c r="E237" s="0" t="str">
        <f aca="false">IF(B237=1,IFERROR(INDEX(A238:A244,MATCH(1,BQ238:BQ244,0)),""),"")</f>
        <v>NZF</v>
      </c>
      <c r="F237" s="0" t="str">
        <f aca="false">IF(B237=1,IFERROR(INDEX(A238:A244,MATCH(1,BR238:BR244,0)),""),"")</f>
        <v>NAT</v>
      </c>
      <c r="G237" s="17" t="n">
        <f aca="false">IF(B237=1,SUM(BM238:BM244)+Settings!$B$10,"")</f>
        <v>122</v>
      </c>
    </row>
    <row r="238" customFormat="false" ht="15" hidden="false" customHeight="false" outlineLevel="0" collapsed="false">
      <c r="A238" s="0" t="s">
        <v>41</v>
      </c>
      <c r="B238" s="0" t="n">
        <f aca="false">IF(OR(BS238&gt;=Settings!$B$5,Settings!$C$14&gt;0),BS238,0)</f>
        <v>0.284888888888889</v>
      </c>
      <c r="C238" s="0" t="n">
        <f aca="false">$B238/C$1</f>
        <v>0.284888888888889</v>
      </c>
      <c r="D238" s="0" t="n">
        <f aca="false">$B238/D$1</f>
        <v>0.094962962962963</v>
      </c>
      <c r="E238" s="0" t="n">
        <f aca="false">$B238/E$1</f>
        <v>0.0569777777777778</v>
      </c>
      <c r="F238" s="0" t="n">
        <f aca="false">$B238/F$1</f>
        <v>0.0406984126984127</v>
      </c>
      <c r="G238" s="0" t="n">
        <f aca="false">$B238/G$1</f>
        <v>0.0316543209876543</v>
      </c>
      <c r="H238" s="0" t="n">
        <f aca="false">$B238/H$1</f>
        <v>0.0258989898989899</v>
      </c>
      <c r="I238" s="0" t="n">
        <f aca="false">$B238/I$1</f>
        <v>0.0219145299145299</v>
      </c>
      <c r="J238" s="0" t="n">
        <f aca="false">$B238/J$1</f>
        <v>0.0189925925925926</v>
      </c>
      <c r="K238" s="0" t="n">
        <f aca="false">$B238/K$1</f>
        <v>0.0167581699346405</v>
      </c>
      <c r="L238" s="0" t="n">
        <f aca="false">$B238/L$1</f>
        <v>0.0149941520467836</v>
      </c>
      <c r="M238" s="0" t="n">
        <f aca="false">$B238/M$1</f>
        <v>0.0135661375661376</v>
      </c>
      <c r="N238" s="0" t="n">
        <f aca="false">$B238/N$1</f>
        <v>0.0123864734299517</v>
      </c>
      <c r="O238" s="0" t="n">
        <f aca="false">$B238/O$1</f>
        <v>0.0113955555555556</v>
      </c>
      <c r="P238" s="0" t="n">
        <f aca="false">$B238/P$1</f>
        <v>0.0105514403292181</v>
      </c>
      <c r="Q238" s="0" t="n">
        <f aca="false">$B238/Q$1</f>
        <v>0.00982375478927203</v>
      </c>
      <c r="R238" s="0" t="n">
        <f aca="false">$B238/R$1</f>
        <v>0.0091899641577061</v>
      </c>
      <c r="S238" s="0" t="n">
        <f aca="false">$B238/S$1</f>
        <v>0.00863299663299663</v>
      </c>
      <c r="T238" s="0" t="n">
        <f aca="false">$B238/T$1</f>
        <v>0.00813968253968254</v>
      </c>
      <c r="U238" s="0" t="n">
        <f aca="false">$B238/U$1</f>
        <v>0.0076996996996997</v>
      </c>
      <c r="V238" s="0" t="n">
        <f aca="false">$B238/V$1</f>
        <v>0.00730484330484331</v>
      </c>
      <c r="W238" s="0" t="n">
        <f aca="false">$B238/W$1</f>
        <v>0.00694850948509485</v>
      </c>
      <c r="X238" s="0" t="n">
        <f aca="false">$B238/X$1</f>
        <v>0.00662532299741602</v>
      </c>
      <c r="Y238" s="0" t="n">
        <f aca="false">$B238/Y$1</f>
        <v>0.00633086419753086</v>
      </c>
      <c r="Z238" s="0" t="n">
        <f aca="false">$B238/Z$1</f>
        <v>0.00606146572104019</v>
      </c>
      <c r="AA238" s="0" t="n">
        <f aca="false">$B238/AA$1</f>
        <v>0.0058140589569161</v>
      </c>
      <c r="AB238" s="0" t="n">
        <f aca="false">$B238/AB$1</f>
        <v>0.00558605664488018</v>
      </c>
      <c r="AC238" s="0" t="n">
        <f aca="false">$B238/AC$1</f>
        <v>0.00537526205450734</v>
      </c>
      <c r="AD238" s="0" t="n">
        <f aca="false">$B238/AD$1</f>
        <v>0.00517979797979798</v>
      </c>
      <c r="AE238" s="0" t="n">
        <f aca="false">$B238/AE$1</f>
        <v>0.00499805068226121</v>
      </c>
      <c r="AF238" s="0" t="n">
        <f aca="false">$B238/AF$1</f>
        <v>0.0048286252354049</v>
      </c>
      <c r="AG238" s="0" t="n">
        <f aca="false">$B238/AG$1</f>
        <v>0.00467030965391621</v>
      </c>
      <c r="AH238" s="0" t="n">
        <f aca="false">$B238/AH$1</f>
        <v>0.00452204585537919</v>
      </c>
      <c r="AI238" s="0" t="n">
        <f aca="false">$B238/AI$1</f>
        <v>0.00438290598290598</v>
      </c>
      <c r="AJ238" s="0" t="n">
        <f aca="false">$B238/AJ$1</f>
        <v>0.00425207296849088</v>
      </c>
      <c r="AK238" s="0" t="n">
        <f aca="false">$B238/AK$1</f>
        <v>0.00412882447665056</v>
      </c>
      <c r="AL238" s="0" t="n">
        <f aca="false">$B238/AL$1</f>
        <v>0.00401251956181534</v>
      </c>
      <c r="AM238" s="0" t="n">
        <f aca="false">$B238/AM$1</f>
        <v>0.00390258751902588</v>
      </c>
      <c r="AN238" s="0" t="n">
        <f aca="false">$B238/AN$1</f>
        <v>0.00379851851851852</v>
      </c>
      <c r="AO238" s="0" t="n">
        <f aca="false">$B238/AO$1</f>
        <v>0.0036998556998557</v>
      </c>
      <c r="AP238" s="0" t="n">
        <f aca="false">$B238/AP$1</f>
        <v>0.00360618846694796</v>
      </c>
      <c r="AQ238" s="0" t="n">
        <f aca="false">$B238/AQ$1</f>
        <v>0.00351714677640604</v>
      </c>
      <c r="AR238" s="0" t="n">
        <f aca="false">$B238/AR$1</f>
        <v>0.00343239625167336</v>
      </c>
      <c r="AS238" s="0" t="n">
        <f aca="false">$B238/AS$1</f>
        <v>0.00335163398692811</v>
      </c>
      <c r="AT238" s="0" t="n">
        <f aca="false">$B238/AT$1</f>
        <v>0.00327458492975734</v>
      </c>
      <c r="AU238" s="0" t="n">
        <f aca="false">$B238/AU$1</f>
        <v>0.00320099875156055</v>
      </c>
      <c r="AV238" s="0" t="n">
        <f aca="false">$B238/AV$1</f>
        <v>0.00313064713064713</v>
      </c>
      <c r="AW238" s="0" t="n">
        <f aca="false">$B238/AW$1</f>
        <v>0.00306332138590203</v>
      </c>
      <c r="AX238" s="0" t="n">
        <f aca="false">$B238/AX$1</f>
        <v>0.00299883040935673</v>
      </c>
      <c r="AY238" s="0" t="n">
        <f aca="false">$B238/AY$1</f>
        <v>0.00293699885452463</v>
      </c>
      <c r="AZ238" s="0" t="n">
        <f aca="false">$B238/AZ$1</f>
        <v>0.00287766554433221</v>
      </c>
      <c r="BA238" s="0" t="n">
        <f aca="false">$B238/BA$1</f>
        <v>0.00282068206820682</v>
      </c>
      <c r="BB238" s="0" t="n">
        <f aca="false">$B238/BB$1</f>
        <v>0.00276591154261057</v>
      </c>
      <c r="BC238" s="0" t="n">
        <f aca="false">$B238/BC$1</f>
        <v>0.00271322751322751</v>
      </c>
      <c r="BD238" s="0" t="n">
        <f aca="false">$B238/BD$1</f>
        <v>0.00266251298026999</v>
      </c>
      <c r="BE238" s="0" t="n">
        <f aca="false">$B238/BE$1</f>
        <v>0.00261365953109072</v>
      </c>
      <c r="BF238" s="0" t="n">
        <f aca="false">$B238/BF$1</f>
        <v>0.00256656656656657</v>
      </c>
      <c r="BG238" s="0" t="n">
        <f aca="false">$B238/BG$1</f>
        <v>0.00252114060963619</v>
      </c>
      <c r="BH238" s="0" t="n">
        <f aca="false">$B238/BH$1</f>
        <v>0.00247729468599034</v>
      </c>
      <c r="BI238" s="0" t="n">
        <f aca="false">$B238/BI$1</f>
        <v>0.0024349477682811</v>
      </c>
      <c r="BJ238" s="0" t="n">
        <f aca="false">$B238/BJ$1</f>
        <v>0.00239402427637722</v>
      </c>
      <c r="BL238" s="0" t="n">
        <f aca="false">IF($B$237=1,COUNTIF(C238:BJ238,"&gt;="&amp;$C$237),0)</f>
        <v>34</v>
      </c>
      <c r="BM238" s="0" t="n">
        <f aca="false">IF($B$237=1,IF(OR(BS238&gt;=Settings!$B$5,Settings!$C$14&gt;0),MAX(BL238,Settings!$C$14),0),0)</f>
        <v>34</v>
      </c>
      <c r="BN238" s="0" t="n">
        <f aca="false">IF($B$237=1,IF(OR(BS238&gt;=Settings!$B$5,Settings!$C$14&gt;0),MAX(0,(2*MAX(BL238,Settings!$C$14)+1)*$C$237-BS238),MAX(0,Settings!$B$5-BS238)),"")</f>
        <v>0.000311111111111095</v>
      </c>
      <c r="BO238" s="0" t="n">
        <f aca="false">IF($B$237=1,IF(OR(BS238&gt;=Settings!$B$5,Settings!$C$14&gt;0),IF(BL238&lt;=Settings!$C$14,"Protected by electorates",IF(Settings!$C$14=0,MIN(BS238-(2*BL238-1)*$D$237,BS238-Settings!$B$5),BS238-(2*BL238-1)*$D$237)),""),"")</f>
        <v>0.00825764895330111</v>
      </c>
      <c r="BP238" s="0" t="n">
        <f aca="false">IF($B$237=1,IF(OR(BS238&gt;=Settings!$B$5,Settings!$C$14&gt;0),MAX(0,MIN(1,(BS238/$C$237-(2*MAX(BL238,Settings!$C$14)-1))/2)),MIN(1,BS238/Settings!$B$5)),"")</f>
        <v>0.962365591397848</v>
      </c>
      <c r="BQ238" s="0" t="n">
        <f aca="false">IF(AND($B$237=1,COUNTIF(C238:BJ238,$C$237)&gt;0),1,0)</f>
        <v>0</v>
      </c>
      <c r="BR238" s="0" t="n">
        <f aca="false">IF(AND($B$237=1,COUNTIF(C238:BJ238,$D$237)&gt;0),1,0)</f>
        <v>1</v>
      </c>
      <c r="BS238" s="0" t="n">
        <f aca="false">N(IF(Polls!H32="",Polls!H37,Polls!H32))</f>
        <v>0.284888888888889</v>
      </c>
      <c r="BT238" s="0" t="str">
        <f aca="false">IF(OR(BS238&gt;=Settings!$B$5,Settings!$C$14&gt;0),"Next seat","Threshold")</f>
        <v>Next seat</v>
      </c>
    </row>
    <row r="239" customFormat="false" ht="15" hidden="false" customHeight="false" outlineLevel="0" collapsed="false">
      <c r="A239" s="0" t="s">
        <v>43</v>
      </c>
      <c r="B239" s="0" t="n">
        <f aca="false">IF(OR(BS239&gt;=Settings!$B$5,Settings!$C$15&gt;0),BS239,0)</f>
        <v>0.279333333333333</v>
      </c>
      <c r="C239" s="0" t="n">
        <f aca="false">$B239/C$1</f>
        <v>0.279333333333333</v>
      </c>
      <c r="D239" s="0" t="n">
        <f aca="false">$B239/D$1</f>
        <v>0.0931111111111111</v>
      </c>
      <c r="E239" s="0" t="n">
        <f aca="false">$B239/E$1</f>
        <v>0.0558666666666667</v>
      </c>
      <c r="F239" s="0" t="n">
        <f aca="false">$B239/F$1</f>
        <v>0.0399047619047619</v>
      </c>
      <c r="G239" s="0" t="n">
        <f aca="false">$B239/G$1</f>
        <v>0.031037037037037</v>
      </c>
      <c r="H239" s="0" t="n">
        <f aca="false">$B239/H$1</f>
        <v>0.0253939393939394</v>
      </c>
      <c r="I239" s="0" t="n">
        <f aca="false">$B239/I$1</f>
        <v>0.0214871794871795</v>
      </c>
      <c r="J239" s="0" t="n">
        <f aca="false">$B239/J$1</f>
        <v>0.0186222222222222</v>
      </c>
      <c r="K239" s="0" t="n">
        <f aca="false">$B239/K$1</f>
        <v>0.0164313725490196</v>
      </c>
      <c r="L239" s="0" t="n">
        <f aca="false">$B239/L$1</f>
        <v>0.0147017543859649</v>
      </c>
      <c r="M239" s="0" t="n">
        <f aca="false">$B239/M$1</f>
        <v>0.0133015873015873</v>
      </c>
      <c r="N239" s="0" t="n">
        <f aca="false">$B239/N$1</f>
        <v>0.0121449275362319</v>
      </c>
      <c r="O239" s="0" t="n">
        <f aca="false">$B239/O$1</f>
        <v>0.0111733333333333</v>
      </c>
      <c r="P239" s="0" t="n">
        <f aca="false">$B239/P$1</f>
        <v>0.0103456790123457</v>
      </c>
      <c r="Q239" s="0" t="n">
        <f aca="false">$B239/Q$1</f>
        <v>0.00963218390804598</v>
      </c>
      <c r="R239" s="0" t="n">
        <f aca="false">$B239/R$1</f>
        <v>0.00901075268817204</v>
      </c>
      <c r="S239" s="0" t="n">
        <f aca="false">$B239/S$1</f>
        <v>0.00846464646464647</v>
      </c>
      <c r="T239" s="0" t="n">
        <f aca="false">$B239/T$1</f>
        <v>0.00798095238095238</v>
      </c>
      <c r="U239" s="0" t="n">
        <f aca="false">$B239/U$1</f>
        <v>0.00754954954954955</v>
      </c>
      <c r="V239" s="0" t="n">
        <f aca="false">$B239/V$1</f>
        <v>0.00716239316239316</v>
      </c>
      <c r="W239" s="0" t="n">
        <f aca="false">$B239/W$1</f>
        <v>0.0068130081300813</v>
      </c>
      <c r="X239" s="0" t="n">
        <f aca="false">$B239/X$1</f>
        <v>0.00649612403100775</v>
      </c>
      <c r="Y239" s="0" t="n">
        <f aca="false">$B239/Y$1</f>
        <v>0.00620740740740741</v>
      </c>
      <c r="Z239" s="0" t="n">
        <f aca="false">$B239/Z$1</f>
        <v>0.00594326241134752</v>
      </c>
      <c r="AA239" s="0" t="n">
        <f aca="false">$B239/AA$1</f>
        <v>0.00570068027210885</v>
      </c>
      <c r="AB239" s="0" t="n">
        <f aca="false">$B239/AB$1</f>
        <v>0.00547712418300654</v>
      </c>
      <c r="AC239" s="0" t="n">
        <f aca="false">$B239/AC$1</f>
        <v>0.00527044025157233</v>
      </c>
      <c r="AD239" s="0" t="n">
        <f aca="false">$B239/AD$1</f>
        <v>0.00507878787878788</v>
      </c>
      <c r="AE239" s="0" t="n">
        <f aca="false">$B239/AE$1</f>
        <v>0.00490058479532164</v>
      </c>
      <c r="AF239" s="0" t="n">
        <f aca="false">$B239/AF$1</f>
        <v>0.00473446327683616</v>
      </c>
      <c r="AG239" s="0" t="n">
        <f aca="false">$B239/AG$1</f>
        <v>0.0045792349726776</v>
      </c>
      <c r="AH239" s="0" t="n">
        <f aca="false">$B239/AH$1</f>
        <v>0.00443386243386244</v>
      </c>
      <c r="AI239" s="0" t="n">
        <f aca="false">$B239/AI$1</f>
        <v>0.0042974358974359</v>
      </c>
      <c r="AJ239" s="0" t="n">
        <f aca="false">$B239/AJ$1</f>
        <v>0.00416915422885572</v>
      </c>
      <c r="AK239" s="0" t="n">
        <f aca="false">$B239/AK$1</f>
        <v>0.00404830917874396</v>
      </c>
      <c r="AL239" s="0" t="n">
        <f aca="false">$B239/AL$1</f>
        <v>0.00393427230046948</v>
      </c>
      <c r="AM239" s="0" t="n">
        <f aca="false">$B239/AM$1</f>
        <v>0.00382648401826484</v>
      </c>
      <c r="AN239" s="0" t="n">
        <f aca="false">$B239/AN$1</f>
        <v>0.00372444444444445</v>
      </c>
      <c r="AO239" s="0" t="n">
        <f aca="false">$B239/AO$1</f>
        <v>0.00362770562770563</v>
      </c>
      <c r="AP239" s="0" t="n">
        <f aca="false">$B239/AP$1</f>
        <v>0.00353586497890295</v>
      </c>
      <c r="AQ239" s="0" t="n">
        <f aca="false">$B239/AQ$1</f>
        <v>0.00344855967078189</v>
      </c>
      <c r="AR239" s="0" t="n">
        <f aca="false">$B239/AR$1</f>
        <v>0.00336546184738956</v>
      </c>
      <c r="AS239" s="0" t="n">
        <f aca="false">$B239/AS$1</f>
        <v>0.00328627450980392</v>
      </c>
      <c r="AT239" s="0" t="n">
        <f aca="false">$B239/AT$1</f>
        <v>0.00321072796934866</v>
      </c>
      <c r="AU239" s="0" t="n">
        <f aca="false">$B239/AU$1</f>
        <v>0.00313857677902622</v>
      </c>
      <c r="AV239" s="0" t="n">
        <f aca="false">$B239/AV$1</f>
        <v>0.00306959706959707</v>
      </c>
      <c r="AW239" s="0" t="n">
        <f aca="false">$B239/AW$1</f>
        <v>0.00300358422939068</v>
      </c>
      <c r="AX239" s="0" t="n">
        <f aca="false">$B239/AX$1</f>
        <v>0.00294035087719298</v>
      </c>
      <c r="AY239" s="0" t="n">
        <f aca="false">$B239/AY$1</f>
        <v>0.00287972508591065</v>
      </c>
      <c r="AZ239" s="0" t="n">
        <f aca="false">$B239/AZ$1</f>
        <v>0.00282154882154882</v>
      </c>
      <c r="BA239" s="0" t="n">
        <f aca="false">$B239/BA$1</f>
        <v>0.00276567656765677</v>
      </c>
      <c r="BB239" s="0" t="n">
        <f aca="false">$B239/BB$1</f>
        <v>0.00271197411003236</v>
      </c>
      <c r="BC239" s="0" t="n">
        <f aca="false">$B239/BC$1</f>
        <v>0.00266031746031746</v>
      </c>
      <c r="BD239" s="0" t="n">
        <f aca="false">$B239/BD$1</f>
        <v>0.00261059190031153</v>
      </c>
      <c r="BE239" s="0" t="n">
        <f aca="false">$B239/BE$1</f>
        <v>0.00256269113149847</v>
      </c>
      <c r="BF239" s="0" t="n">
        <f aca="false">$B239/BF$1</f>
        <v>0.00251651651651652</v>
      </c>
      <c r="BG239" s="0" t="n">
        <f aca="false">$B239/BG$1</f>
        <v>0.00247197640117994</v>
      </c>
      <c r="BH239" s="0" t="n">
        <f aca="false">$B239/BH$1</f>
        <v>0.00242898550724638</v>
      </c>
      <c r="BI239" s="0" t="n">
        <f aca="false">$B239/BI$1</f>
        <v>0.00238746438746439</v>
      </c>
      <c r="BJ239" s="0" t="n">
        <f aca="false">$B239/BJ$1</f>
        <v>0.00234733893557423</v>
      </c>
      <c r="BL239" s="0" t="n">
        <f aca="false">IF($B$237=1,COUNTIF(C239:BJ239,"&gt;="&amp;$C$237),0)</f>
        <v>34</v>
      </c>
      <c r="BM239" s="0" t="n">
        <f aca="false">IF($B$237=1,IF(OR(BS239&gt;=Settings!$B$5,Settings!$C$15&gt;0),MAX(BL239,Settings!$C$15),0),0)</f>
        <v>34</v>
      </c>
      <c r="BN239" s="0" t="n">
        <f aca="false">IF($B$237=1,IF(OR(BS239&gt;=Settings!$B$5,Settings!$C$15&gt;0),MAX(0,(2*MAX(BL239,Settings!$C$15)+1)*$C$237-BS239),MAX(0,Settings!$B$5-BS239)),"")</f>
        <v>0.00586666666666663</v>
      </c>
      <c r="BO239" s="0" t="n">
        <f aca="false">IF($B$237=1,IF(OR(BS239&gt;=Settings!$B$5,Settings!$C$15&gt;0),IF(BL239&lt;=Settings!$C$15,"Protected by electorates",IF(Settings!$C$15=0,MIN(BS239-(2*BL239-1)*$D$237,BS239-Settings!$B$5),BS239-(2*BL239-1)*$D$237)),""),"")</f>
        <v>0.00270209339774558</v>
      </c>
      <c r="BP239" s="0" t="n">
        <f aca="false">IF($B$237=1,IF(OR(BS239&gt;=Settings!$B$5,Settings!$C$15&gt;0),MAX(0,MIN(1,(BS239/$C$237-(2*MAX(BL239,Settings!$C$15)-1))/2)),MIN(1,BS239/Settings!$B$5)),"")</f>
        <v>0.290322580645167</v>
      </c>
      <c r="BQ239" s="0" t="n">
        <f aca="false">IF(AND($B$237=1,COUNTIF(C239:BJ239,$C$237)&gt;0),1,0)</f>
        <v>0</v>
      </c>
      <c r="BR239" s="0" t="n">
        <f aca="false">IF(AND($B$237=1,COUNTIF(C239:BJ239,$D$237)&gt;0),1,0)</f>
        <v>0</v>
      </c>
      <c r="BS239" s="0" t="n">
        <f aca="false">N(IF(Polls!I32="",Polls!I37,Polls!I32))</f>
        <v>0.279333333333333</v>
      </c>
      <c r="BT239" s="0" t="str">
        <f aca="false">IF(OR(BS239&gt;=Settings!$B$5,Settings!$C$15&gt;0),"Next seat","Threshold")</f>
        <v>Next seat</v>
      </c>
    </row>
    <row r="240" customFormat="false" ht="15" hidden="false" customHeight="false" outlineLevel="0" collapsed="false">
      <c r="A240" s="0" t="s">
        <v>45</v>
      </c>
      <c r="B240" s="0" t="n">
        <f aca="false">IF(OR(BS240&gt;=Settings!$B$5,Settings!$C$16&gt;0),BS240,0)</f>
        <v>0.145555555555556</v>
      </c>
      <c r="C240" s="0" t="n">
        <f aca="false">$B240/C$1</f>
        <v>0.145555555555556</v>
      </c>
      <c r="D240" s="0" t="n">
        <f aca="false">$B240/D$1</f>
        <v>0.0485185185185185</v>
      </c>
      <c r="E240" s="0" t="n">
        <f aca="false">$B240/E$1</f>
        <v>0.0291111111111111</v>
      </c>
      <c r="F240" s="0" t="n">
        <f aca="false">$B240/F$1</f>
        <v>0.0207936507936508</v>
      </c>
      <c r="G240" s="0" t="n">
        <f aca="false">$B240/G$1</f>
        <v>0.0161728395061728</v>
      </c>
      <c r="H240" s="0" t="n">
        <f aca="false">$B240/H$1</f>
        <v>0.0132323232323232</v>
      </c>
      <c r="I240" s="0" t="n">
        <f aca="false">$B240/I$1</f>
        <v>0.0111965811965812</v>
      </c>
      <c r="J240" s="0" t="n">
        <f aca="false">$B240/J$1</f>
        <v>0.0097037037037037</v>
      </c>
      <c r="K240" s="0" t="n">
        <f aca="false">$B240/K$1</f>
        <v>0.00856209150326797</v>
      </c>
      <c r="L240" s="0" t="n">
        <f aca="false">$B240/L$1</f>
        <v>0.00766081871345029</v>
      </c>
      <c r="M240" s="0" t="n">
        <f aca="false">$B240/M$1</f>
        <v>0.00693121693121693</v>
      </c>
      <c r="N240" s="0" t="n">
        <f aca="false">$B240/N$1</f>
        <v>0.00632850241545894</v>
      </c>
      <c r="O240" s="0" t="n">
        <f aca="false">$B240/O$1</f>
        <v>0.00582222222222222</v>
      </c>
      <c r="P240" s="0" t="n">
        <f aca="false">$B240/P$1</f>
        <v>0.00539094650205761</v>
      </c>
      <c r="Q240" s="0" t="n">
        <f aca="false">$B240/Q$1</f>
        <v>0.00501915708812261</v>
      </c>
      <c r="R240" s="0" t="n">
        <f aca="false">$B240/R$1</f>
        <v>0.00469534050179212</v>
      </c>
      <c r="S240" s="0" t="n">
        <f aca="false">$B240/S$1</f>
        <v>0.00441077441077441</v>
      </c>
      <c r="T240" s="0" t="n">
        <f aca="false">$B240/T$1</f>
        <v>0.00415873015873016</v>
      </c>
      <c r="U240" s="0" t="n">
        <f aca="false">$B240/U$1</f>
        <v>0.00393393393393393</v>
      </c>
      <c r="V240" s="0" t="n">
        <f aca="false">$B240/V$1</f>
        <v>0.00373219373219373</v>
      </c>
      <c r="W240" s="0" t="n">
        <f aca="false">$B240/W$1</f>
        <v>0.00355013550135501</v>
      </c>
      <c r="X240" s="0" t="n">
        <f aca="false">$B240/X$1</f>
        <v>0.00338501291989664</v>
      </c>
      <c r="Y240" s="0" t="n">
        <f aca="false">$B240/Y$1</f>
        <v>0.00323456790123457</v>
      </c>
      <c r="Z240" s="0" t="n">
        <f aca="false">$B240/Z$1</f>
        <v>0.00309692671394799</v>
      </c>
      <c r="AA240" s="0" t="n">
        <f aca="false">$B240/AA$1</f>
        <v>0.00297052154195011</v>
      </c>
      <c r="AB240" s="0" t="n">
        <f aca="false">$B240/AB$1</f>
        <v>0.00285403050108932</v>
      </c>
      <c r="AC240" s="0" t="n">
        <f aca="false">$B240/AC$1</f>
        <v>0.00274633123689727</v>
      </c>
      <c r="AD240" s="0" t="n">
        <f aca="false">$B240/AD$1</f>
        <v>0.00264646464646465</v>
      </c>
      <c r="AE240" s="0" t="n">
        <f aca="false">$B240/AE$1</f>
        <v>0.00255360623781676</v>
      </c>
      <c r="AF240" s="0" t="n">
        <f aca="false">$B240/AF$1</f>
        <v>0.00246704331450094</v>
      </c>
      <c r="AG240" s="0" t="n">
        <f aca="false">$B240/AG$1</f>
        <v>0.00238615664845173</v>
      </c>
      <c r="AH240" s="0" t="n">
        <f aca="false">$B240/AH$1</f>
        <v>0.00231040564373898</v>
      </c>
      <c r="AI240" s="0" t="n">
        <f aca="false">$B240/AI$1</f>
        <v>0.00223931623931624</v>
      </c>
      <c r="AJ240" s="0" t="n">
        <f aca="false">$B240/AJ$1</f>
        <v>0.00217247097844113</v>
      </c>
      <c r="AK240" s="0" t="n">
        <f aca="false">$B240/AK$1</f>
        <v>0.00210950080515298</v>
      </c>
      <c r="AL240" s="0" t="n">
        <f aca="false">$B240/AL$1</f>
        <v>0.00205007824726135</v>
      </c>
      <c r="AM240" s="0" t="n">
        <f aca="false">$B240/AM$1</f>
        <v>0.00199391171993912</v>
      </c>
      <c r="AN240" s="0" t="n">
        <f aca="false">$B240/AN$1</f>
        <v>0.00194074074074074</v>
      </c>
      <c r="AO240" s="0" t="n">
        <f aca="false">$B240/AO$1</f>
        <v>0.00189033189033189</v>
      </c>
      <c r="AP240" s="0" t="n">
        <f aca="false">$B240/AP$1</f>
        <v>0.00184247538677918</v>
      </c>
      <c r="AQ240" s="0" t="n">
        <f aca="false">$B240/AQ$1</f>
        <v>0.00179698216735254</v>
      </c>
      <c r="AR240" s="0" t="n">
        <f aca="false">$B240/AR$1</f>
        <v>0.00175368139223561</v>
      </c>
      <c r="AS240" s="0" t="n">
        <f aca="false">$B240/AS$1</f>
        <v>0.00171241830065359</v>
      </c>
      <c r="AT240" s="0" t="n">
        <f aca="false">$B240/AT$1</f>
        <v>0.00167305236270754</v>
      </c>
      <c r="AU240" s="0" t="n">
        <f aca="false">$B240/AU$1</f>
        <v>0.0016354556803995</v>
      </c>
      <c r="AV240" s="0" t="n">
        <f aca="false">$B240/AV$1</f>
        <v>0.0015995115995116</v>
      </c>
      <c r="AW240" s="0" t="n">
        <f aca="false">$B240/AW$1</f>
        <v>0.00156511350059737</v>
      </c>
      <c r="AX240" s="0" t="n">
        <f aca="false">$B240/AX$1</f>
        <v>0.00153216374269006</v>
      </c>
      <c r="AY240" s="0" t="n">
        <f aca="false">$B240/AY$1</f>
        <v>0.00150057273768614</v>
      </c>
      <c r="AZ240" s="0" t="n">
        <f aca="false">$B240/AZ$1</f>
        <v>0.0014702581369248</v>
      </c>
      <c r="BA240" s="0" t="n">
        <f aca="false">$B240/BA$1</f>
        <v>0.00144114411441144</v>
      </c>
      <c r="BB240" s="0" t="n">
        <f aca="false">$B240/BB$1</f>
        <v>0.00141316073354908</v>
      </c>
      <c r="BC240" s="0" t="n">
        <f aca="false">$B240/BC$1</f>
        <v>0.00138624338624339</v>
      </c>
      <c r="BD240" s="0" t="n">
        <f aca="false">$B240/BD$1</f>
        <v>0.00136033229491173</v>
      </c>
      <c r="BE240" s="0" t="n">
        <f aca="false">$B240/BE$1</f>
        <v>0.00133537206931702</v>
      </c>
      <c r="BF240" s="0" t="n">
        <f aca="false">$B240/BF$1</f>
        <v>0.00131131131131131</v>
      </c>
      <c r="BG240" s="0" t="n">
        <f aca="false">$B240/BG$1</f>
        <v>0.00128810226155359</v>
      </c>
      <c r="BH240" s="0" t="n">
        <f aca="false">$B240/BH$1</f>
        <v>0.00126570048309179</v>
      </c>
      <c r="BI240" s="0" t="n">
        <f aca="false">$B240/BI$1</f>
        <v>0.00124406457739791</v>
      </c>
      <c r="BJ240" s="0" t="n">
        <f aca="false">$B240/BJ$1</f>
        <v>0.00122315592903828</v>
      </c>
      <c r="BL240" s="0" t="n">
        <f aca="false">IF($B$237=1,COUNTIF(C240:BJ240,"&gt;="&amp;$C$237),0)</f>
        <v>18</v>
      </c>
      <c r="BM240" s="0" t="n">
        <f aca="false">IF($B$237=1,IF(OR(BS240&gt;=Settings!$B$5,Settings!$C$16&gt;0),MAX(BL240,Settings!$C$16),0),0)</f>
        <v>18</v>
      </c>
      <c r="BN240" s="0" t="n">
        <f aca="false">IF($B$237=1,IF(OR(BS240&gt;=Settings!$B$5,Settings!$C$16&gt;0),MAX(0,(2*MAX(BL240,Settings!$C$16)+1)*$C$237-BS240),MAX(0,Settings!$B$5-BS240)),"")</f>
        <v>0.00737777777777779</v>
      </c>
      <c r="BO240" s="0" t="n">
        <f aca="false">IF($B$237=1,IF(OR(BS240&gt;=Settings!$B$5,Settings!$C$16&gt;0),IF(BL240&lt;=Settings!$C$16,"Protected by electorates",IF(Settings!$C$16=0,MIN(BS240-(2*BL240-1)*$D$237,BS240-Settings!$B$5),BS240-(2*BL240-1)*$D$237)),""),"")</f>
        <v>0.0010466988727858</v>
      </c>
      <c r="BP240" s="0" t="n">
        <f aca="false">IF($B$237=1,IF(OR(BS240&gt;=Settings!$B$5,Settings!$C$16&gt;0),MAX(0,MIN(1,(BS240/$C$237-(2*MAX(BL240,Settings!$C$16)-1))/2)),MIN(1,BS240/Settings!$B$5)),"")</f>
        <v>0.107526881720428</v>
      </c>
      <c r="BQ240" s="0" t="n">
        <f aca="false">IF(AND($B$237=1,COUNTIF(C240:BJ240,$C$237)&gt;0),1,0)</f>
        <v>0</v>
      </c>
      <c r="BR240" s="0" t="n">
        <f aca="false">IF(AND($B$237=1,COUNTIF(C240:BJ240,$D$237)&gt;0),1,0)</f>
        <v>0</v>
      </c>
      <c r="BS240" s="0" t="n">
        <f aca="false">N(IF(Polls!J32="",Polls!J37,Polls!J32))</f>
        <v>0.145555555555556</v>
      </c>
      <c r="BT240" s="0" t="str">
        <f aca="false">IF(OR(BS240&gt;=Settings!$B$5,Settings!$C$16&gt;0),"Next seat","Threshold")</f>
        <v>Next seat</v>
      </c>
    </row>
    <row r="241" customFormat="false" ht="15" hidden="false" customHeight="false" outlineLevel="0" collapsed="false">
      <c r="A241" s="0" t="s">
        <v>46</v>
      </c>
      <c r="B241" s="0" t="n">
        <f aca="false">IF(OR(BS241&gt;=Settings!$B$5,Settings!$C$17&gt;0),BS241,0)</f>
        <v>0.0963333333333333</v>
      </c>
      <c r="C241" s="0" t="n">
        <f aca="false">$B241/C$1</f>
        <v>0.0963333333333333</v>
      </c>
      <c r="D241" s="0" t="n">
        <f aca="false">$B241/D$1</f>
        <v>0.0321111111111111</v>
      </c>
      <c r="E241" s="0" t="n">
        <f aca="false">$B241/E$1</f>
        <v>0.0192666666666667</v>
      </c>
      <c r="F241" s="0" t="n">
        <f aca="false">$B241/F$1</f>
        <v>0.0137619047619048</v>
      </c>
      <c r="G241" s="0" t="n">
        <f aca="false">$B241/G$1</f>
        <v>0.0107037037037037</v>
      </c>
      <c r="H241" s="0" t="n">
        <f aca="false">$B241/H$1</f>
        <v>0.00875757575757576</v>
      </c>
      <c r="I241" s="0" t="n">
        <f aca="false">$B241/I$1</f>
        <v>0.00741025641025641</v>
      </c>
      <c r="J241" s="0" t="n">
        <f aca="false">$B241/J$1</f>
        <v>0.00642222222222222</v>
      </c>
      <c r="K241" s="0" t="n">
        <f aca="false">$B241/K$1</f>
        <v>0.00566666666666667</v>
      </c>
      <c r="L241" s="0" t="n">
        <f aca="false">$B241/L$1</f>
        <v>0.00507017543859649</v>
      </c>
      <c r="M241" s="0" t="n">
        <f aca="false">$B241/M$1</f>
        <v>0.00458730158730159</v>
      </c>
      <c r="N241" s="0" t="n">
        <f aca="false">$B241/N$1</f>
        <v>0.00418840579710145</v>
      </c>
      <c r="O241" s="0" t="n">
        <f aca="false">$B241/O$1</f>
        <v>0.00385333333333333</v>
      </c>
      <c r="P241" s="0" t="n">
        <f aca="false">$B241/P$1</f>
        <v>0.0035679012345679</v>
      </c>
      <c r="Q241" s="0" t="n">
        <f aca="false">$B241/Q$1</f>
        <v>0.00332183908045977</v>
      </c>
      <c r="R241" s="0" t="n">
        <f aca="false">$B241/R$1</f>
        <v>0.00310752688172043</v>
      </c>
      <c r="S241" s="0" t="n">
        <f aca="false">$B241/S$1</f>
        <v>0.00291919191919192</v>
      </c>
      <c r="T241" s="0" t="n">
        <f aca="false">$B241/T$1</f>
        <v>0.00275238095238095</v>
      </c>
      <c r="U241" s="0" t="n">
        <f aca="false">$B241/U$1</f>
        <v>0.0026036036036036</v>
      </c>
      <c r="V241" s="0" t="n">
        <f aca="false">$B241/V$1</f>
        <v>0.00247008547008547</v>
      </c>
      <c r="W241" s="0" t="n">
        <f aca="false">$B241/W$1</f>
        <v>0.00234959349593496</v>
      </c>
      <c r="X241" s="0" t="n">
        <f aca="false">$B241/X$1</f>
        <v>0.00224031007751938</v>
      </c>
      <c r="Y241" s="0" t="n">
        <f aca="false">$B241/Y$1</f>
        <v>0.00214074074074074</v>
      </c>
      <c r="Z241" s="0" t="n">
        <f aca="false">$B241/Z$1</f>
        <v>0.00204964539007092</v>
      </c>
      <c r="AA241" s="0" t="n">
        <f aca="false">$B241/AA$1</f>
        <v>0.00196598639455782</v>
      </c>
      <c r="AB241" s="0" t="n">
        <f aca="false">$B241/AB$1</f>
        <v>0.00188888888888889</v>
      </c>
      <c r="AC241" s="0" t="n">
        <f aca="false">$B241/AC$1</f>
        <v>0.00181761006289308</v>
      </c>
      <c r="AD241" s="0" t="n">
        <f aca="false">$B241/AD$1</f>
        <v>0.00175151515151515</v>
      </c>
      <c r="AE241" s="0" t="n">
        <f aca="false">$B241/AE$1</f>
        <v>0.00169005847953216</v>
      </c>
      <c r="AF241" s="0" t="n">
        <f aca="false">$B241/AF$1</f>
        <v>0.00163276836158192</v>
      </c>
      <c r="AG241" s="0" t="n">
        <f aca="false">$B241/AG$1</f>
        <v>0.0015792349726776</v>
      </c>
      <c r="AH241" s="0" t="n">
        <f aca="false">$B241/AH$1</f>
        <v>0.00152910052910053</v>
      </c>
      <c r="AI241" s="0" t="n">
        <f aca="false">$B241/AI$1</f>
        <v>0.00148205128205128</v>
      </c>
      <c r="AJ241" s="0" t="n">
        <f aca="false">$B241/AJ$1</f>
        <v>0.00143781094527363</v>
      </c>
      <c r="AK241" s="0" t="n">
        <f aca="false">$B241/AK$1</f>
        <v>0.00139613526570048</v>
      </c>
      <c r="AL241" s="0" t="n">
        <f aca="false">$B241/AL$1</f>
        <v>0.00135680751173709</v>
      </c>
      <c r="AM241" s="0" t="n">
        <f aca="false">$B241/AM$1</f>
        <v>0.00131963470319635</v>
      </c>
      <c r="AN241" s="0" t="n">
        <f aca="false">$B241/AN$1</f>
        <v>0.00128444444444444</v>
      </c>
      <c r="AO241" s="0" t="n">
        <f aca="false">$B241/AO$1</f>
        <v>0.00125108225108225</v>
      </c>
      <c r="AP241" s="0" t="n">
        <f aca="false">$B241/AP$1</f>
        <v>0.00121940928270042</v>
      </c>
      <c r="AQ241" s="0" t="n">
        <f aca="false">$B241/AQ$1</f>
        <v>0.00118930041152263</v>
      </c>
      <c r="AR241" s="0" t="n">
        <f aca="false">$B241/AR$1</f>
        <v>0.00116064257028112</v>
      </c>
      <c r="AS241" s="0" t="n">
        <f aca="false">$B241/AS$1</f>
        <v>0.00113333333333333</v>
      </c>
      <c r="AT241" s="0" t="n">
        <f aca="false">$B241/AT$1</f>
        <v>0.00110727969348659</v>
      </c>
      <c r="AU241" s="0" t="n">
        <f aca="false">$B241/AU$1</f>
        <v>0.00108239700374532</v>
      </c>
      <c r="AV241" s="0" t="n">
        <f aca="false">$B241/AV$1</f>
        <v>0.00105860805860806</v>
      </c>
      <c r="AW241" s="0" t="n">
        <f aca="false">$B241/AW$1</f>
        <v>0.00103584229390681</v>
      </c>
      <c r="AX241" s="0" t="n">
        <f aca="false">$B241/AX$1</f>
        <v>0.0010140350877193</v>
      </c>
      <c r="AY241" s="0" t="n">
        <f aca="false">$B241/AY$1</f>
        <v>0.000993127147766323</v>
      </c>
      <c r="AZ241" s="0" t="n">
        <f aca="false">$B241/AZ$1</f>
        <v>0.000973063973063973</v>
      </c>
      <c r="BA241" s="0" t="n">
        <f aca="false">$B241/BA$1</f>
        <v>0.000953795379537954</v>
      </c>
      <c r="BB241" s="0" t="n">
        <f aca="false">$B241/BB$1</f>
        <v>0.000935275080906149</v>
      </c>
      <c r="BC241" s="0" t="n">
        <f aca="false">$B241/BC$1</f>
        <v>0.000917460317460317</v>
      </c>
      <c r="BD241" s="0" t="n">
        <f aca="false">$B241/BD$1</f>
        <v>0.000900311526479751</v>
      </c>
      <c r="BE241" s="0" t="n">
        <f aca="false">$B241/BE$1</f>
        <v>0.000883792048929664</v>
      </c>
      <c r="BF241" s="0" t="n">
        <f aca="false">$B241/BF$1</f>
        <v>0.000867867867867868</v>
      </c>
      <c r="BG241" s="0" t="n">
        <f aca="false">$B241/BG$1</f>
        <v>0.000852507374631268</v>
      </c>
      <c r="BH241" s="0" t="n">
        <f aca="false">$B241/BH$1</f>
        <v>0.00083768115942029</v>
      </c>
      <c r="BI241" s="0" t="n">
        <f aca="false">$B241/BI$1</f>
        <v>0.000823361823361823</v>
      </c>
      <c r="BJ241" s="0" t="n">
        <f aca="false">$B241/BJ$1</f>
        <v>0.00080952380952381</v>
      </c>
      <c r="BL241" s="0" t="n">
        <f aca="false">IF($B$237=1,COUNTIF(C241:BJ241,"&gt;="&amp;$C$237),0)</f>
        <v>12</v>
      </c>
      <c r="BM241" s="0" t="n">
        <f aca="false">IF($B$237=1,IF(OR(BS241&gt;=Settings!$B$5,Settings!$C$17&gt;0),MAX(BL241,Settings!$C$17),0),0)</f>
        <v>12</v>
      </c>
      <c r="BN241" s="0" t="n">
        <f aca="false">IF($B$237=1,IF(OR(BS241&gt;=Settings!$B$5,Settings!$C$17&gt;0),MAX(0,(2*MAX(BL241,Settings!$C$17)+1)*$C$237-BS241),MAX(0,Settings!$B$5-BS241)),"")</f>
        <v>0.00700000000000001</v>
      </c>
      <c r="BO241" s="0" t="n">
        <f aca="false">IF($B$237=1,IF(OR(BS241&gt;=Settings!$B$5,Settings!$C$17&gt;0),IF(BL241&lt;=Settings!$C$17,"Protected by electorates",IF(Settings!$C$17=0,MIN(BS241-(2*BL241-1)*$D$237,BS241-Settings!$B$5),BS241-(2*BL241-1)*$D$237)),""),"")</f>
        <v>0.00137037037037036</v>
      </c>
      <c r="BP241" s="0" t="n">
        <f aca="false">IF($B$237=1,IF(OR(BS241&gt;=Settings!$B$5,Settings!$C$17&gt;0),MAX(0,MIN(1,(BS241/$C$237-(2*MAX(BL241,Settings!$C$17)-1))/2)),MIN(1,BS241/Settings!$B$5)),"")</f>
        <v>0.153225806451612</v>
      </c>
      <c r="BQ241" s="0" t="n">
        <f aca="false">IF(AND($B$237=1,COUNTIF(C241:BJ241,$C$237)&gt;0),1,0)</f>
        <v>0</v>
      </c>
      <c r="BR241" s="0" t="n">
        <f aca="false">IF(AND($B$237=1,COUNTIF(C241:BJ241,$D$237)&gt;0),1,0)</f>
        <v>0</v>
      </c>
      <c r="BS241" s="0" t="n">
        <f aca="false">N(IF(Polls!K32="",Polls!K37,Polls!K32))</f>
        <v>0.0963333333333333</v>
      </c>
      <c r="BT241" s="0" t="str">
        <f aca="false">IF(OR(BS241&gt;=Settings!$B$5,Settings!$C$17&gt;0),"Next seat","Threshold")</f>
        <v>Next seat</v>
      </c>
    </row>
    <row r="242" customFormat="false" ht="15" hidden="false" customHeight="false" outlineLevel="0" collapsed="false">
      <c r="A242" s="0" t="s">
        <v>48</v>
      </c>
      <c r="B242" s="0" t="n">
        <f aca="false">IF(OR(BS242&gt;=Settings!$B$5,Settings!$C$18&gt;0),BS242,0)</f>
        <v>0.103333333333333</v>
      </c>
      <c r="C242" s="0" t="n">
        <f aca="false">$B242/C$1</f>
        <v>0.103333333333333</v>
      </c>
      <c r="D242" s="0" t="n">
        <f aca="false">$B242/D$1</f>
        <v>0.0344444444444444</v>
      </c>
      <c r="E242" s="0" t="n">
        <f aca="false">$B242/E$1</f>
        <v>0.0206666666666667</v>
      </c>
      <c r="F242" s="0" t="n">
        <f aca="false">$B242/F$1</f>
        <v>0.0147619047619048</v>
      </c>
      <c r="G242" s="0" t="n">
        <f aca="false">$B242/G$1</f>
        <v>0.0114814814814815</v>
      </c>
      <c r="H242" s="0" t="n">
        <f aca="false">$B242/H$1</f>
        <v>0.00939393939393939</v>
      </c>
      <c r="I242" s="0" t="n">
        <f aca="false">$B242/I$1</f>
        <v>0.00794871794871795</v>
      </c>
      <c r="J242" s="0" t="n">
        <f aca="false">$B242/J$1</f>
        <v>0.00688888888888889</v>
      </c>
      <c r="K242" s="0" t="n">
        <f aca="false">$B242/K$1</f>
        <v>0.00607843137254902</v>
      </c>
      <c r="L242" s="0" t="n">
        <f aca="false">$B242/L$1</f>
        <v>0.00543859649122807</v>
      </c>
      <c r="M242" s="0" t="n">
        <f aca="false">$B242/M$1</f>
        <v>0.00492063492063492</v>
      </c>
      <c r="N242" s="0" t="n">
        <f aca="false">$B242/N$1</f>
        <v>0.00449275362318841</v>
      </c>
      <c r="O242" s="0" t="n">
        <f aca="false">$B242/O$1</f>
        <v>0.00413333333333333</v>
      </c>
      <c r="P242" s="0" t="n">
        <f aca="false">$B242/P$1</f>
        <v>0.00382716049382716</v>
      </c>
      <c r="Q242" s="0" t="n">
        <f aca="false">$B242/Q$1</f>
        <v>0.0035632183908046</v>
      </c>
      <c r="R242" s="0" t="n">
        <f aca="false">$B242/R$1</f>
        <v>0.00333333333333333</v>
      </c>
      <c r="S242" s="0" t="n">
        <f aca="false">$B242/S$1</f>
        <v>0.00313131313131313</v>
      </c>
      <c r="T242" s="0" t="n">
        <f aca="false">$B242/T$1</f>
        <v>0.00295238095238095</v>
      </c>
      <c r="U242" s="0" t="n">
        <f aca="false">$B242/U$1</f>
        <v>0.00279279279279279</v>
      </c>
      <c r="V242" s="0" t="n">
        <f aca="false">$B242/V$1</f>
        <v>0.00264957264957265</v>
      </c>
      <c r="W242" s="0" t="n">
        <f aca="false">$B242/W$1</f>
        <v>0.00252032520325203</v>
      </c>
      <c r="X242" s="0" t="n">
        <f aca="false">$B242/X$1</f>
        <v>0.0024031007751938</v>
      </c>
      <c r="Y242" s="0" t="n">
        <f aca="false">$B242/Y$1</f>
        <v>0.0022962962962963</v>
      </c>
      <c r="Z242" s="0" t="n">
        <f aca="false">$B242/Z$1</f>
        <v>0.00219858156028369</v>
      </c>
      <c r="AA242" s="0" t="n">
        <f aca="false">$B242/AA$1</f>
        <v>0.00210884353741497</v>
      </c>
      <c r="AB242" s="0" t="n">
        <f aca="false">$B242/AB$1</f>
        <v>0.00202614379084967</v>
      </c>
      <c r="AC242" s="0" t="n">
        <f aca="false">$B242/AC$1</f>
        <v>0.0019496855345912</v>
      </c>
      <c r="AD242" s="0" t="n">
        <f aca="false">$B242/AD$1</f>
        <v>0.00187878787878788</v>
      </c>
      <c r="AE242" s="0" t="n">
        <f aca="false">$B242/AE$1</f>
        <v>0.00181286549707602</v>
      </c>
      <c r="AF242" s="0" t="n">
        <f aca="false">$B242/AF$1</f>
        <v>0.00175141242937853</v>
      </c>
      <c r="AG242" s="0" t="n">
        <f aca="false">$B242/AG$1</f>
        <v>0.00169398907103825</v>
      </c>
      <c r="AH242" s="0" t="n">
        <f aca="false">$B242/AH$1</f>
        <v>0.00164021164021164</v>
      </c>
      <c r="AI242" s="0" t="n">
        <f aca="false">$B242/AI$1</f>
        <v>0.00158974358974359</v>
      </c>
      <c r="AJ242" s="0" t="n">
        <f aca="false">$B242/AJ$1</f>
        <v>0.00154228855721393</v>
      </c>
      <c r="AK242" s="0" t="n">
        <f aca="false">$B242/AK$1</f>
        <v>0.0014975845410628</v>
      </c>
      <c r="AL242" s="0" t="n">
        <f aca="false">$B242/AL$1</f>
        <v>0.00145539906103286</v>
      </c>
      <c r="AM242" s="0" t="n">
        <f aca="false">$B242/AM$1</f>
        <v>0.00141552511415525</v>
      </c>
      <c r="AN242" s="0" t="n">
        <f aca="false">$B242/AN$1</f>
        <v>0.00137777777777778</v>
      </c>
      <c r="AO242" s="0" t="n">
        <f aca="false">$B242/AO$1</f>
        <v>0.00134199134199134</v>
      </c>
      <c r="AP242" s="0" t="n">
        <f aca="false">$B242/AP$1</f>
        <v>0.00130801687763713</v>
      </c>
      <c r="AQ242" s="0" t="n">
        <f aca="false">$B242/AQ$1</f>
        <v>0.00127572016460905</v>
      </c>
      <c r="AR242" s="0" t="n">
        <f aca="false">$B242/AR$1</f>
        <v>0.00124497991967872</v>
      </c>
      <c r="AS242" s="0" t="n">
        <f aca="false">$B242/AS$1</f>
        <v>0.0012156862745098</v>
      </c>
      <c r="AT242" s="0" t="n">
        <f aca="false">$B242/AT$1</f>
        <v>0.00118773946360153</v>
      </c>
      <c r="AU242" s="0" t="n">
        <f aca="false">$B242/AU$1</f>
        <v>0.00116104868913858</v>
      </c>
      <c r="AV242" s="0" t="n">
        <f aca="false">$B242/AV$1</f>
        <v>0.00113553113553114</v>
      </c>
      <c r="AW242" s="0" t="n">
        <f aca="false">$B242/AW$1</f>
        <v>0.00111111111111111</v>
      </c>
      <c r="AX242" s="0" t="n">
        <f aca="false">$B242/AX$1</f>
        <v>0.00108771929824561</v>
      </c>
      <c r="AY242" s="0" t="n">
        <f aca="false">$B242/AY$1</f>
        <v>0.00106529209621993</v>
      </c>
      <c r="AZ242" s="0" t="n">
        <f aca="false">$B242/AZ$1</f>
        <v>0.00104377104377104</v>
      </c>
      <c r="BA242" s="0" t="n">
        <f aca="false">$B242/BA$1</f>
        <v>0.00102310231023102</v>
      </c>
      <c r="BB242" s="0" t="n">
        <f aca="false">$B242/BB$1</f>
        <v>0.00100323624595469</v>
      </c>
      <c r="BC242" s="0" t="n">
        <f aca="false">$B242/BC$1</f>
        <v>0.000984126984126984</v>
      </c>
      <c r="BD242" s="0" t="n">
        <f aca="false">$B242/BD$1</f>
        <v>0.000965732087227414</v>
      </c>
      <c r="BE242" s="0" t="n">
        <f aca="false">$B242/BE$1</f>
        <v>0.000948012232415902</v>
      </c>
      <c r="BF242" s="0" t="n">
        <f aca="false">$B242/BF$1</f>
        <v>0.000930930930930931</v>
      </c>
      <c r="BG242" s="0" t="n">
        <f aca="false">$B242/BG$1</f>
        <v>0.000914454277286136</v>
      </c>
      <c r="BH242" s="0" t="n">
        <f aca="false">$B242/BH$1</f>
        <v>0.000898550724637681</v>
      </c>
      <c r="BI242" s="0" t="n">
        <f aca="false">$B242/BI$1</f>
        <v>0.000883190883190883</v>
      </c>
      <c r="BJ242" s="0" t="n">
        <f aca="false">$B242/BJ$1</f>
        <v>0.000868347338935574</v>
      </c>
      <c r="BL242" s="0" t="n">
        <f aca="false">IF($B$237=1,COUNTIF(C242:BJ242,"&gt;="&amp;$C$237),0)</f>
        <v>13</v>
      </c>
      <c r="BM242" s="0" t="n">
        <f aca="false">IF($B$237=1,IF(OR(BS242&gt;=Settings!$B$5,Settings!$C$18&gt;0),MAX(BL242,Settings!$C$18),0),0)</f>
        <v>13</v>
      </c>
      <c r="BN242" s="0" t="n">
        <f aca="false">IF($B$237=1,IF(OR(BS242&gt;=Settings!$B$5,Settings!$C$18&gt;0),MAX(0,(2*MAX(BL242,Settings!$C$18)+1)*$C$237-BS242),MAX(0,Settings!$B$5-BS242)),"")</f>
        <v>0.00826666666666667</v>
      </c>
      <c r="BO242" s="0" t="n">
        <f aca="false">IF($B$237=1,IF(OR(BS242&gt;=Settings!$B$5,Settings!$C$18&gt;0),IF(BL242&lt;=Settings!$C$18,"Protected by electorates",IF(Settings!$C$18=0,MIN(BS242-(2*BL242-1)*$D$237,BS242-Settings!$B$5),BS242-(2*BL242-1)*$D$237)),""),"")</f>
        <v>0.000112721417069223</v>
      </c>
      <c r="BP242" s="0" t="n">
        <f aca="false">IF($B$237=1,IF(OR(BS242&gt;=Settings!$B$5,Settings!$C$18&gt;0),MAX(0,MIN(1,(BS242/$C$237-(2*MAX(BL242,Settings!$C$18)-1))/2)),MIN(1,BS242/Settings!$B$5)),"")</f>
        <v>0</v>
      </c>
      <c r="BQ242" s="0" t="n">
        <f aca="false">IF(AND($B$237=1,COUNTIF(C242:BJ242,$C$237)&gt;0),1,0)</f>
        <v>1</v>
      </c>
      <c r="BR242" s="0" t="n">
        <f aca="false">IF(AND($B$237=1,COUNTIF(C242:BJ242,$D$237)&gt;0),1,0)</f>
        <v>0</v>
      </c>
      <c r="BS242" s="0" t="n">
        <f aca="false">N(IF(Polls!L32="",Polls!L37,Polls!L32))</f>
        <v>0.103333333333333</v>
      </c>
      <c r="BT242" s="0" t="str">
        <f aca="false">IF(OR(BS242&gt;=Settings!$B$5,Settings!$C$18&gt;0),"Next seat","Threshold")</f>
        <v>Next seat</v>
      </c>
    </row>
    <row r="243" customFormat="false" ht="15" hidden="false" customHeight="false" outlineLevel="0" collapsed="false">
      <c r="A243" s="0" t="s">
        <v>50</v>
      </c>
      <c r="B243" s="0" t="n">
        <f aca="false">IF(OR(BS243&gt;=Settings!$B$5,Settings!$C$19&gt;0),BS243,0)</f>
        <v>0.0145</v>
      </c>
      <c r="C243" s="0" t="n">
        <f aca="false">$B243/C$1</f>
        <v>0.0145</v>
      </c>
      <c r="D243" s="0" t="n">
        <f aca="false">$B243/D$1</f>
        <v>0.00483333333333333</v>
      </c>
      <c r="E243" s="0" t="n">
        <f aca="false">$B243/E$1</f>
        <v>0.0029</v>
      </c>
      <c r="F243" s="0" t="n">
        <f aca="false">$B243/F$1</f>
        <v>0.00207142857142857</v>
      </c>
      <c r="G243" s="0" t="n">
        <f aca="false">$B243/G$1</f>
        <v>0.00161111111111111</v>
      </c>
      <c r="H243" s="0" t="n">
        <f aca="false">$B243/H$1</f>
        <v>0.00131818181818182</v>
      </c>
      <c r="I243" s="0" t="n">
        <f aca="false">$B243/I$1</f>
        <v>0.00111538461538462</v>
      </c>
      <c r="J243" s="0" t="n">
        <f aca="false">$B243/J$1</f>
        <v>0.000966666666666667</v>
      </c>
      <c r="K243" s="0" t="n">
        <f aca="false">$B243/K$1</f>
        <v>0.000852941176470588</v>
      </c>
      <c r="L243" s="0" t="n">
        <f aca="false">$B243/L$1</f>
        <v>0.000763157894736842</v>
      </c>
      <c r="M243" s="0" t="n">
        <f aca="false">$B243/M$1</f>
        <v>0.000690476190476191</v>
      </c>
      <c r="N243" s="0" t="n">
        <f aca="false">$B243/N$1</f>
        <v>0.000630434782608696</v>
      </c>
      <c r="O243" s="0" t="n">
        <f aca="false">$B243/O$1</f>
        <v>0.00058</v>
      </c>
      <c r="P243" s="0" t="n">
        <f aca="false">$B243/P$1</f>
        <v>0.000537037037037037</v>
      </c>
      <c r="Q243" s="0" t="n">
        <f aca="false">$B243/Q$1</f>
        <v>0.0005</v>
      </c>
      <c r="R243" s="0" t="n">
        <f aca="false">$B243/R$1</f>
        <v>0.000467741935483871</v>
      </c>
      <c r="S243" s="0" t="n">
        <f aca="false">$B243/S$1</f>
        <v>0.000439393939393939</v>
      </c>
      <c r="T243" s="0" t="n">
        <f aca="false">$B243/T$1</f>
        <v>0.000414285714285714</v>
      </c>
      <c r="U243" s="0" t="n">
        <f aca="false">$B243/U$1</f>
        <v>0.000391891891891892</v>
      </c>
      <c r="V243" s="0" t="n">
        <f aca="false">$B243/V$1</f>
        <v>0.000371794871794872</v>
      </c>
      <c r="W243" s="0" t="n">
        <f aca="false">$B243/W$1</f>
        <v>0.000353658536585366</v>
      </c>
      <c r="X243" s="0" t="n">
        <f aca="false">$B243/X$1</f>
        <v>0.000337209302325581</v>
      </c>
      <c r="Y243" s="0" t="n">
        <f aca="false">$B243/Y$1</f>
        <v>0.000322222222222222</v>
      </c>
      <c r="Z243" s="0" t="n">
        <f aca="false">$B243/Z$1</f>
        <v>0.000308510638297872</v>
      </c>
      <c r="AA243" s="0" t="n">
        <f aca="false">$B243/AA$1</f>
        <v>0.000295918367346939</v>
      </c>
      <c r="AB243" s="0" t="n">
        <f aca="false">$B243/AB$1</f>
        <v>0.000284313725490196</v>
      </c>
      <c r="AC243" s="0" t="n">
        <f aca="false">$B243/AC$1</f>
        <v>0.000273584905660377</v>
      </c>
      <c r="AD243" s="0" t="n">
        <f aca="false">$B243/AD$1</f>
        <v>0.000263636363636364</v>
      </c>
      <c r="AE243" s="0" t="n">
        <f aca="false">$B243/AE$1</f>
        <v>0.000254385964912281</v>
      </c>
      <c r="AF243" s="0" t="n">
        <f aca="false">$B243/AF$1</f>
        <v>0.000245762711864407</v>
      </c>
      <c r="AG243" s="0" t="n">
        <f aca="false">$B243/AG$1</f>
        <v>0.000237704918032787</v>
      </c>
      <c r="AH243" s="0" t="n">
        <f aca="false">$B243/AH$1</f>
        <v>0.00023015873015873</v>
      </c>
      <c r="AI243" s="0" t="n">
        <f aca="false">$B243/AI$1</f>
        <v>0.000223076923076923</v>
      </c>
      <c r="AJ243" s="0" t="n">
        <f aca="false">$B243/AJ$1</f>
        <v>0.000216417910447761</v>
      </c>
      <c r="AK243" s="0" t="n">
        <f aca="false">$B243/AK$1</f>
        <v>0.000210144927536232</v>
      </c>
      <c r="AL243" s="0" t="n">
        <f aca="false">$B243/AL$1</f>
        <v>0.000204225352112676</v>
      </c>
      <c r="AM243" s="0" t="n">
        <f aca="false">$B243/AM$1</f>
        <v>0.000198630136986301</v>
      </c>
      <c r="AN243" s="0" t="n">
        <f aca="false">$B243/AN$1</f>
        <v>0.000193333333333333</v>
      </c>
      <c r="AO243" s="0" t="n">
        <f aca="false">$B243/AO$1</f>
        <v>0.000188311688311688</v>
      </c>
      <c r="AP243" s="0" t="n">
        <f aca="false">$B243/AP$1</f>
        <v>0.000183544303797468</v>
      </c>
      <c r="AQ243" s="0" t="n">
        <f aca="false">$B243/AQ$1</f>
        <v>0.000179012345679012</v>
      </c>
      <c r="AR243" s="0" t="n">
        <f aca="false">$B243/AR$1</f>
        <v>0.000174698795180723</v>
      </c>
      <c r="AS243" s="0" t="n">
        <f aca="false">$B243/AS$1</f>
        <v>0.000170588235294118</v>
      </c>
      <c r="AT243" s="0" t="n">
        <f aca="false">$B243/AT$1</f>
        <v>0.000166666666666667</v>
      </c>
      <c r="AU243" s="0" t="n">
        <f aca="false">$B243/AU$1</f>
        <v>0.000162921348314607</v>
      </c>
      <c r="AV243" s="0" t="n">
        <f aca="false">$B243/AV$1</f>
        <v>0.000159340659340659</v>
      </c>
      <c r="AW243" s="0" t="n">
        <f aca="false">$B243/AW$1</f>
        <v>0.000155913978494624</v>
      </c>
      <c r="AX243" s="0" t="n">
        <f aca="false">$B243/AX$1</f>
        <v>0.000152631578947368</v>
      </c>
      <c r="AY243" s="0" t="n">
        <f aca="false">$B243/AY$1</f>
        <v>0.000149484536082474</v>
      </c>
      <c r="AZ243" s="0" t="n">
        <f aca="false">$B243/AZ$1</f>
        <v>0.000146464646464646</v>
      </c>
      <c r="BA243" s="0" t="n">
        <f aca="false">$B243/BA$1</f>
        <v>0.000143564356435644</v>
      </c>
      <c r="BB243" s="0" t="n">
        <f aca="false">$B243/BB$1</f>
        <v>0.000140776699029126</v>
      </c>
      <c r="BC243" s="0" t="n">
        <f aca="false">$B243/BC$1</f>
        <v>0.000138095238095238</v>
      </c>
      <c r="BD243" s="0" t="n">
        <f aca="false">$B243/BD$1</f>
        <v>0.000135514018691589</v>
      </c>
      <c r="BE243" s="0" t="n">
        <f aca="false">$B243/BE$1</f>
        <v>0.00013302752293578</v>
      </c>
      <c r="BF243" s="0" t="n">
        <f aca="false">$B243/BF$1</f>
        <v>0.000130630630630631</v>
      </c>
      <c r="BG243" s="0" t="n">
        <f aca="false">$B243/BG$1</f>
        <v>0.000128318584070796</v>
      </c>
      <c r="BH243" s="0" t="n">
        <f aca="false">$B243/BH$1</f>
        <v>0.000126086956521739</v>
      </c>
      <c r="BI243" s="0" t="n">
        <f aca="false">$B243/BI$1</f>
        <v>0.000123931623931624</v>
      </c>
      <c r="BJ243" s="0" t="n">
        <f aca="false">$B243/BJ$1</f>
        <v>0.000121848739495798</v>
      </c>
      <c r="BL243" s="0" t="n">
        <f aca="false">IF($B$237=1,COUNTIF(C243:BJ243,"&gt;="&amp;$C$237),0)</f>
        <v>2</v>
      </c>
      <c r="BM243" s="0" t="n">
        <f aca="false">IF($B$237=1,IF(OR(BS243&gt;=Settings!$B$5,Settings!$C$19&gt;0),MAX(BL243,Settings!$C$19),0),0)</f>
        <v>4</v>
      </c>
      <c r="BN243" s="0" t="n">
        <f aca="false">IF($B$237=1,IF(OR(BS243&gt;=Settings!$B$5,Settings!$C$19&gt;0),MAX(0,(2*MAX(BL243,Settings!$C$19)+1)*$C$237-BS243),MAX(0,Settings!$B$5-BS243)),"")</f>
        <v>0.0227</v>
      </c>
      <c r="BO243" s="0" t="str">
        <f aca="false">IF($B$237=1,IF(OR(BS243&gt;=Settings!$B$5,Settings!$C$19&gt;0),IF(BL243&lt;=Settings!$C$19,"Protected by electorates",IF(Settings!$C$19=0,MIN(BS243-(2*BL243-1)*$D$237,BS243-Settings!$B$5),BS243-(2*BL243-1)*$D$237)),""),"")</f>
        <v>Protected by electorates</v>
      </c>
      <c r="BP243" s="0" t="n">
        <f aca="false">IF($B$237=1,IF(OR(BS243&gt;=Settings!$B$5,Settings!$C$19&gt;0),MAX(0,MIN(1,(BS243/$C$237-(2*MAX(BL243,Settings!$C$19)-1))/2)),MIN(1,BS243/Settings!$B$5)),"")</f>
        <v>0</v>
      </c>
      <c r="BQ243" s="0" t="n">
        <f aca="false">IF(AND($B$237=1,COUNTIF(C243:BJ243,$C$237)&gt;0),1,0)</f>
        <v>0</v>
      </c>
      <c r="BR243" s="0" t="n">
        <f aca="false">IF(AND($B$237=1,COUNTIF(C243:BJ243,$D$237)&gt;0),1,0)</f>
        <v>0</v>
      </c>
      <c r="BS243" s="0" t="n">
        <f aca="false">N(IF(Polls!M32="",Polls!M37,Polls!M32))</f>
        <v>0.0145</v>
      </c>
      <c r="BT243" s="0" t="str">
        <f aca="false">IF(OR(BS243&gt;=Settings!$B$5,Settings!$C$19&gt;0),"Next seat","Threshold")</f>
        <v>Next seat</v>
      </c>
    </row>
    <row r="244" customFormat="false" ht="15" hidden="false" customHeight="false" outlineLevel="0" collapsed="false">
      <c r="A244" s="0" t="s">
        <v>52</v>
      </c>
      <c r="B244" s="0" t="n">
        <f aca="false">IF(OR(BS244&gt;=Settings!$B$5,Settings!$C$20&gt;0),BS244,0)</f>
        <v>0.0614444444444445</v>
      </c>
      <c r="C244" s="0" t="n">
        <f aca="false">$B244/C$1</f>
        <v>0.0614444444444445</v>
      </c>
      <c r="D244" s="0" t="n">
        <f aca="false">$B244/D$1</f>
        <v>0.0204814814814815</v>
      </c>
      <c r="E244" s="0" t="n">
        <f aca="false">$B244/E$1</f>
        <v>0.0122888888888889</v>
      </c>
      <c r="F244" s="0" t="n">
        <f aca="false">$B244/F$1</f>
        <v>0.00877777777777778</v>
      </c>
      <c r="G244" s="0" t="n">
        <f aca="false">$B244/G$1</f>
        <v>0.00682716049382716</v>
      </c>
      <c r="H244" s="0" t="n">
        <f aca="false">$B244/H$1</f>
        <v>0.00558585858585859</v>
      </c>
      <c r="I244" s="0" t="n">
        <f aca="false">$B244/I$1</f>
        <v>0.00472649572649573</v>
      </c>
      <c r="J244" s="0" t="n">
        <f aca="false">$B244/J$1</f>
        <v>0.0040962962962963</v>
      </c>
      <c r="K244" s="0" t="n">
        <f aca="false">$B244/K$1</f>
        <v>0.00361437908496732</v>
      </c>
      <c r="L244" s="0" t="n">
        <f aca="false">$B244/L$1</f>
        <v>0.00323391812865497</v>
      </c>
      <c r="M244" s="0" t="n">
        <f aca="false">$B244/M$1</f>
        <v>0.00292592592592593</v>
      </c>
      <c r="N244" s="0" t="n">
        <f aca="false">$B244/N$1</f>
        <v>0.00267149758454106</v>
      </c>
      <c r="O244" s="0" t="n">
        <f aca="false">$B244/O$1</f>
        <v>0.00245777777777778</v>
      </c>
      <c r="P244" s="0" t="n">
        <f aca="false">$B244/P$1</f>
        <v>0.00227572016460905</v>
      </c>
      <c r="Q244" s="0" t="n">
        <f aca="false">$B244/Q$1</f>
        <v>0.00211877394636015</v>
      </c>
      <c r="R244" s="0" t="n">
        <f aca="false">$B244/R$1</f>
        <v>0.0019820788530466</v>
      </c>
      <c r="S244" s="0" t="n">
        <f aca="false">$B244/S$1</f>
        <v>0.00186195286195286</v>
      </c>
      <c r="T244" s="0" t="n">
        <f aca="false">$B244/T$1</f>
        <v>0.00175555555555556</v>
      </c>
      <c r="U244" s="0" t="n">
        <f aca="false">$B244/U$1</f>
        <v>0.00166066066066066</v>
      </c>
      <c r="V244" s="0" t="n">
        <f aca="false">$B244/V$1</f>
        <v>0.00157549857549858</v>
      </c>
      <c r="W244" s="0" t="n">
        <f aca="false">$B244/W$1</f>
        <v>0.00149864498644986</v>
      </c>
      <c r="X244" s="0" t="n">
        <f aca="false">$B244/X$1</f>
        <v>0.00142894056847545</v>
      </c>
      <c r="Y244" s="0" t="n">
        <f aca="false">$B244/Y$1</f>
        <v>0.00136543209876543</v>
      </c>
      <c r="Z244" s="0" t="n">
        <f aca="false">$B244/Z$1</f>
        <v>0.00130732860520095</v>
      </c>
      <c r="AA244" s="0" t="n">
        <f aca="false">$B244/AA$1</f>
        <v>0.00125396825396825</v>
      </c>
      <c r="AB244" s="0" t="n">
        <f aca="false">$B244/AB$1</f>
        <v>0.00120479302832244</v>
      </c>
      <c r="AC244" s="0" t="n">
        <f aca="false">$B244/AC$1</f>
        <v>0.00115932914046122</v>
      </c>
      <c r="AD244" s="0" t="n">
        <f aca="false">$B244/AD$1</f>
        <v>0.00111717171717172</v>
      </c>
      <c r="AE244" s="0" t="n">
        <f aca="false">$B244/AE$1</f>
        <v>0.00107797270955166</v>
      </c>
      <c r="AF244" s="0" t="n">
        <f aca="false">$B244/AF$1</f>
        <v>0.00104143126177024</v>
      </c>
      <c r="AG244" s="0" t="n">
        <f aca="false">$B244/AG$1</f>
        <v>0.00100728597449909</v>
      </c>
      <c r="AH244" s="0" t="n">
        <f aca="false">$B244/AH$1</f>
        <v>0.000975308641975309</v>
      </c>
      <c r="AI244" s="0" t="n">
        <f aca="false">$B244/AI$1</f>
        <v>0.000945299145299145</v>
      </c>
      <c r="AJ244" s="0" t="n">
        <f aca="false">$B244/AJ$1</f>
        <v>0.000917081260364843</v>
      </c>
      <c r="AK244" s="0" t="n">
        <f aca="false">$B244/AK$1</f>
        <v>0.000890499194847021</v>
      </c>
      <c r="AL244" s="0" t="n">
        <f aca="false">$B244/AL$1</f>
        <v>0.000865414710485133</v>
      </c>
      <c r="AM244" s="0" t="n">
        <f aca="false">$B244/AM$1</f>
        <v>0.000841704718417047</v>
      </c>
      <c r="AN244" s="0" t="n">
        <f aca="false">$B244/AN$1</f>
        <v>0.000819259259259259</v>
      </c>
      <c r="AO244" s="0" t="n">
        <f aca="false">$B244/AO$1</f>
        <v>0.000797979797979798</v>
      </c>
      <c r="AP244" s="0" t="n">
        <f aca="false">$B244/AP$1</f>
        <v>0.000777777777777778</v>
      </c>
      <c r="AQ244" s="0" t="n">
        <f aca="false">$B244/AQ$1</f>
        <v>0.000758573388203018</v>
      </c>
      <c r="AR244" s="0" t="n">
        <f aca="false">$B244/AR$1</f>
        <v>0.000740294511378849</v>
      </c>
      <c r="AS244" s="0" t="n">
        <f aca="false">$B244/AS$1</f>
        <v>0.000722875816993464</v>
      </c>
      <c r="AT244" s="0" t="n">
        <f aca="false">$B244/AT$1</f>
        <v>0.000706257982120051</v>
      </c>
      <c r="AU244" s="0" t="n">
        <f aca="false">$B244/AU$1</f>
        <v>0.000690387016229713</v>
      </c>
      <c r="AV244" s="0" t="n">
        <f aca="false">$B244/AV$1</f>
        <v>0.000675213675213675</v>
      </c>
      <c r="AW244" s="0" t="n">
        <f aca="false">$B244/AW$1</f>
        <v>0.000660692951015532</v>
      </c>
      <c r="AX244" s="0" t="n">
        <f aca="false">$B244/AX$1</f>
        <v>0.000646783625730994</v>
      </c>
      <c r="AY244" s="0" t="n">
        <f aca="false">$B244/AY$1</f>
        <v>0.000633447880870561</v>
      </c>
      <c r="AZ244" s="0" t="n">
        <f aca="false">$B244/AZ$1</f>
        <v>0.000620650953984287</v>
      </c>
      <c r="BA244" s="0" t="n">
        <f aca="false">$B244/BA$1</f>
        <v>0.000608360836083608</v>
      </c>
      <c r="BB244" s="0" t="n">
        <f aca="false">$B244/BB$1</f>
        <v>0.000596548004314995</v>
      </c>
      <c r="BC244" s="0" t="n">
        <f aca="false">$B244/BC$1</f>
        <v>0.000585185185185185</v>
      </c>
      <c r="BD244" s="0" t="n">
        <f aca="false">$B244/BD$1</f>
        <v>0.000574247144340602</v>
      </c>
      <c r="BE244" s="0" t="n">
        <f aca="false">$B244/BE$1</f>
        <v>0.000563710499490316</v>
      </c>
      <c r="BF244" s="0" t="n">
        <f aca="false">$B244/BF$1</f>
        <v>0.000553553553553554</v>
      </c>
      <c r="BG244" s="0" t="n">
        <f aca="false">$B244/BG$1</f>
        <v>0.000543756145526057</v>
      </c>
      <c r="BH244" s="0" t="n">
        <f aca="false">$B244/BH$1</f>
        <v>0.000534299516908213</v>
      </c>
      <c r="BI244" s="0" t="n">
        <f aca="false">$B244/BI$1</f>
        <v>0.000525166191832859</v>
      </c>
      <c r="BJ244" s="0" t="n">
        <f aca="false">$B244/BJ$1</f>
        <v>0.000516339869281046</v>
      </c>
      <c r="BL244" s="0" t="n">
        <f aca="false">IF($B$237=1,COUNTIF(C244:BJ244,"&gt;="&amp;$C$237),0)</f>
        <v>7</v>
      </c>
      <c r="BM244" s="0" t="n">
        <f aca="false">IF($B$237=1,IF(OR(BS244&gt;=Settings!$B$5,Settings!$C$20&gt;0),MAX(BL244,Settings!$C$20),0),0)</f>
        <v>7</v>
      </c>
      <c r="BN244" s="0" t="n">
        <f aca="false">IF($B$237=1,IF(OR(BS244&gt;=Settings!$B$5,Settings!$C$20&gt;0),MAX(0,(2*MAX(BL244,Settings!$C$20)+1)*$C$237-BS244),MAX(0,Settings!$B$5-BS244)),"")</f>
        <v>0.000555555555555552</v>
      </c>
      <c r="BO244" s="0" t="n">
        <f aca="false">IF($B$237=1,IF(OR(BS244&gt;=Settings!$B$5,Settings!$C$20&gt;0),IF(BL244&lt;=Settings!$C$20,"Protected by electorates",IF(Settings!$C$20=0,MIN(BS244-(2*BL244-1)*$D$237,BS244-Settings!$B$5),BS244-(2*BL244-1)*$D$237)),""),"")</f>
        <v>0.00776972624798712</v>
      </c>
      <c r="BP244" s="0" t="n">
        <f aca="false">IF($B$237=1,IF(OR(BS244&gt;=Settings!$B$5,Settings!$C$20&gt;0),MAX(0,MIN(1,(BS244/$C$237-(2*MAX(BL244,Settings!$C$20)-1))/2)),MIN(1,BS244/Settings!$B$5)),"")</f>
        <v>0.932795698924731</v>
      </c>
      <c r="BQ244" s="0" t="n">
        <f aca="false">IF(AND($B$237=1,COUNTIF(C244:BJ244,$C$237)&gt;0),1,0)</f>
        <v>0</v>
      </c>
      <c r="BR244" s="0" t="n">
        <f aca="false">IF(AND($B$237=1,COUNTIF(C244:BJ244,$D$237)&gt;0),1,0)</f>
        <v>0</v>
      </c>
      <c r="BS244" s="0" t="n">
        <f aca="false">N(IF(Polls!N32="",Polls!N37,Polls!N32))</f>
        <v>0.0614444444444445</v>
      </c>
      <c r="BT244" s="0" t="str">
        <f aca="false">IF(OR(BS244&gt;=Settings!$B$5,Settings!$C$20&gt;0),"Next seat","Threshold")</f>
        <v>Next seat</v>
      </c>
    </row>
    <row r="246" customFormat="false" ht="15" hidden="false" customHeight="false" outlineLevel="0" collapsed="false">
      <c r="A246" s="41" t="n">
        <f aca="false">Polls!A33</f>
        <v>0</v>
      </c>
      <c r="B246" s="17" t="n">
        <f aca="false">IF(SUM(BS247:BS253)&gt;0,1,0)</f>
        <v>1</v>
      </c>
      <c r="C246" s="17" t="n">
        <f aca="false">IF(B246=1,LARGE(C247:BJ253,Settings!$B$4),0)</f>
        <v>0.00413333333333333</v>
      </c>
      <c r="D246" s="17" t="n">
        <f aca="false">IF(B246=1,LARGE(C247:BJ253,Settings!$B$4+1),0)</f>
        <v>0.00412882447665056</v>
      </c>
      <c r="E246" s="0" t="str">
        <f aca="false">IF(B246=1,IFERROR(INDEX(A247:A253,MATCH(1,BQ247:BQ253,0)),""),"")</f>
        <v>NZF</v>
      </c>
      <c r="F246" s="0" t="str">
        <f aca="false">IF(B246=1,IFERROR(INDEX(A247:A253,MATCH(1,BR247:BR253,0)),""),"")</f>
        <v>NAT</v>
      </c>
      <c r="G246" s="17" t="n">
        <f aca="false">IF(B246=1,SUM(BM247:BM253)+Settings!$B$10,"")</f>
        <v>122</v>
      </c>
    </row>
    <row r="247" customFormat="false" ht="15" hidden="false" customHeight="false" outlineLevel="0" collapsed="false">
      <c r="A247" s="0" t="s">
        <v>41</v>
      </c>
      <c r="B247" s="0" t="n">
        <f aca="false">IF(OR(BS247&gt;=Settings!$B$5,Settings!$C$14&gt;0),BS247,0)</f>
        <v>0.284888888888889</v>
      </c>
      <c r="C247" s="0" t="n">
        <f aca="false">$B247/C$1</f>
        <v>0.284888888888889</v>
      </c>
      <c r="D247" s="0" t="n">
        <f aca="false">$B247/D$1</f>
        <v>0.094962962962963</v>
      </c>
      <c r="E247" s="0" t="n">
        <f aca="false">$B247/E$1</f>
        <v>0.0569777777777778</v>
      </c>
      <c r="F247" s="0" t="n">
        <f aca="false">$B247/F$1</f>
        <v>0.0406984126984127</v>
      </c>
      <c r="G247" s="0" t="n">
        <f aca="false">$B247/G$1</f>
        <v>0.0316543209876543</v>
      </c>
      <c r="H247" s="0" t="n">
        <f aca="false">$B247/H$1</f>
        <v>0.0258989898989899</v>
      </c>
      <c r="I247" s="0" t="n">
        <f aca="false">$B247/I$1</f>
        <v>0.0219145299145299</v>
      </c>
      <c r="J247" s="0" t="n">
        <f aca="false">$B247/J$1</f>
        <v>0.0189925925925926</v>
      </c>
      <c r="K247" s="0" t="n">
        <f aca="false">$B247/K$1</f>
        <v>0.0167581699346405</v>
      </c>
      <c r="L247" s="0" t="n">
        <f aca="false">$B247/L$1</f>
        <v>0.0149941520467836</v>
      </c>
      <c r="M247" s="0" t="n">
        <f aca="false">$B247/M$1</f>
        <v>0.0135661375661376</v>
      </c>
      <c r="N247" s="0" t="n">
        <f aca="false">$B247/N$1</f>
        <v>0.0123864734299517</v>
      </c>
      <c r="O247" s="0" t="n">
        <f aca="false">$B247/O$1</f>
        <v>0.0113955555555556</v>
      </c>
      <c r="P247" s="0" t="n">
        <f aca="false">$B247/P$1</f>
        <v>0.0105514403292181</v>
      </c>
      <c r="Q247" s="0" t="n">
        <f aca="false">$B247/Q$1</f>
        <v>0.00982375478927203</v>
      </c>
      <c r="R247" s="0" t="n">
        <f aca="false">$B247/R$1</f>
        <v>0.0091899641577061</v>
      </c>
      <c r="S247" s="0" t="n">
        <f aca="false">$B247/S$1</f>
        <v>0.00863299663299663</v>
      </c>
      <c r="T247" s="0" t="n">
        <f aca="false">$B247/T$1</f>
        <v>0.00813968253968254</v>
      </c>
      <c r="U247" s="0" t="n">
        <f aca="false">$B247/U$1</f>
        <v>0.0076996996996997</v>
      </c>
      <c r="V247" s="0" t="n">
        <f aca="false">$B247/V$1</f>
        <v>0.00730484330484331</v>
      </c>
      <c r="W247" s="0" t="n">
        <f aca="false">$B247/W$1</f>
        <v>0.00694850948509485</v>
      </c>
      <c r="X247" s="0" t="n">
        <f aca="false">$B247/X$1</f>
        <v>0.00662532299741602</v>
      </c>
      <c r="Y247" s="0" t="n">
        <f aca="false">$B247/Y$1</f>
        <v>0.00633086419753086</v>
      </c>
      <c r="Z247" s="0" t="n">
        <f aca="false">$B247/Z$1</f>
        <v>0.00606146572104019</v>
      </c>
      <c r="AA247" s="0" t="n">
        <f aca="false">$B247/AA$1</f>
        <v>0.0058140589569161</v>
      </c>
      <c r="AB247" s="0" t="n">
        <f aca="false">$B247/AB$1</f>
        <v>0.00558605664488018</v>
      </c>
      <c r="AC247" s="0" t="n">
        <f aca="false">$B247/AC$1</f>
        <v>0.00537526205450734</v>
      </c>
      <c r="AD247" s="0" t="n">
        <f aca="false">$B247/AD$1</f>
        <v>0.00517979797979798</v>
      </c>
      <c r="AE247" s="0" t="n">
        <f aca="false">$B247/AE$1</f>
        <v>0.00499805068226121</v>
      </c>
      <c r="AF247" s="0" t="n">
        <f aca="false">$B247/AF$1</f>
        <v>0.0048286252354049</v>
      </c>
      <c r="AG247" s="0" t="n">
        <f aca="false">$B247/AG$1</f>
        <v>0.00467030965391621</v>
      </c>
      <c r="AH247" s="0" t="n">
        <f aca="false">$B247/AH$1</f>
        <v>0.00452204585537919</v>
      </c>
      <c r="AI247" s="0" t="n">
        <f aca="false">$B247/AI$1</f>
        <v>0.00438290598290598</v>
      </c>
      <c r="AJ247" s="0" t="n">
        <f aca="false">$B247/AJ$1</f>
        <v>0.00425207296849088</v>
      </c>
      <c r="AK247" s="0" t="n">
        <f aca="false">$B247/AK$1</f>
        <v>0.00412882447665056</v>
      </c>
      <c r="AL247" s="0" t="n">
        <f aca="false">$B247/AL$1</f>
        <v>0.00401251956181534</v>
      </c>
      <c r="AM247" s="0" t="n">
        <f aca="false">$B247/AM$1</f>
        <v>0.00390258751902588</v>
      </c>
      <c r="AN247" s="0" t="n">
        <f aca="false">$B247/AN$1</f>
        <v>0.00379851851851852</v>
      </c>
      <c r="AO247" s="0" t="n">
        <f aca="false">$B247/AO$1</f>
        <v>0.0036998556998557</v>
      </c>
      <c r="AP247" s="0" t="n">
        <f aca="false">$B247/AP$1</f>
        <v>0.00360618846694796</v>
      </c>
      <c r="AQ247" s="0" t="n">
        <f aca="false">$B247/AQ$1</f>
        <v>0.00351714677640604</v>
      </c>
      <c r="AR247" s="0" t="n">
        <f aca="false">$B247/AR$1</f>
        <v>0.00343239625167336</v>
      </c>
      <c r="AS247" s="0" t="n">
        <f aca="false">$B247/AS$1</f>
        <v>0.00335163398692811</v>
      </c>
      <c r="AT247" s="0" t="n">
        <f aca="false">$B247/AT$1</f>
        <v>0.00327458492975734</v>
      </c>
      <c r="AU247" s="0" t="n">
        <f aca="false">$B247/AU$1</f>
        <v>0.00320099875156055</v>
      </c>
      <c r="AV247" s="0" t="n">
        <f aca="false">$B247/AV$1</f>
        <v>0.00313064713064713</v>
      </c>
      <c r="AW247" s="0" t="n">
        <f aca="false">$B247/AW$1</f>
        <v>0.00306332138590203</v>
      </c>
      <c r="AX247" s="0" t="n">
        <f aca="false">$B247/AX$1</f>
        <v>0.00299883040935673</v>
      </c>
      <c r="AY247" s="0" t="n">
        <f aca="false">$B247/AY$1</f>
        <v>0.00293699885452463</v>
      </c>
      <c r="AZ247" s="0" t="n">
        <f aca="false">$B247/AZ$1</f>
        <v>0.00287766554433221</v>
      </c>
      <c r="BA247" s="0" t="n">
        <f aca="false">$B247/BA$1</f>
        <v>0.00282068206820682</v>
      </c>
      <c r="BB247" s="0" t="n">
        <f aca="false">$B247/BB$1</f>
        <v>0.00276591154261057</v>
      </c>
      <c r="BC247" s="0" t="n">
        <f aca="false">$B247/BC$1</f>
        <v>0.00271322751322751</v>
      </c>
      <c r="BD247" s="0" t="n">
        <f aca="false">$B247/BD$1</f>
        <v>0.00266251298026999</v>
      </c>
      <c r="BE247" s="0" t="n">
        <f aca="false">$B247/BE$1</f>
        <v>0.00261365953109072</v>
      </c>
      <c r="BF247" s="0" t="n">
        <f aca="false">$B247/BF$1</f>
        <v>0.00256656656656657</v>
      </c>
      <c r="BG247" s="0" t="n">
        <f aca="false">$B247/BG$1</f>
        <v>0.00252114060963619</v>
      </c>
      <c r="BH247" s="0" t="n">
        <f aca="false">$B247/BH$1</f>
        <v>0.00247729468599034</v>
      </c>
      <c r="BI247" s="0" t="n">
        <f aca="false">$B247/BI$1</f>
        <v>0.0024349477682811</v>
      </c>
      <c r="BJ247" s="0" t="n">
        <f aca="false">$B247/BJ$1</f>
        <v>0.00239402427637722</v>
      </c>
      <c r="BL247" s="0" t="n">
        <f aca="false">IF($B$246=1,COUNTIF(C247:BJ247,"&gt;="&amp;$C$246),0)</f>
        <v>34</v>
      </c>
      <c r="BM247" s="0" t="n">
        <f aca="false">IF($B$246=1,IF(OR(BS247&gt;=Settings!$B$5,Settings!$C$14&gt;0),MAX(BL247,Settings!$C$14),0),0)</f>
        <v>34</v>
      </c>
      <c r="BN247" s="0" t="n">
        <f aca="false">IF($B$246=1,IF(OR(BS247&gt;=Settings!$B$5,Settings!$C$14&gt;0),MAX(0,(2*MAX(BL247,Settings!$C$14)+1)*$C$246-BS247),MAX(0,Settings!$B$5-BS247)),"")</f>
        <v>0.000311111111111095</v>
      </c>
      <c r="BO247" s="0" t="n">
        <f aca="false">IF($B$246=1,IF(OR(BS247&gt;=Settings!$B$5,Settings!$C$14&gt;0),IF(BL247&lt;=Settings!$C$14,"Protected by electorates",IF(Settings!$C$14=0,MIN(BS247-(2*BL247-1)*$D$246,BS247-Settings!$B$5),BS247-(2*BL247-1)*$D$246)),""),"")</f>
        <v>0.00825764895330111</v>
      </c>
      <c r="BP247" s="0" t="n">
        <f aca="false">IF($B$246=1,IF(OR(BS247&gt;=Settings!$B$5,Settings!$C$14&gt;0),MAX(0,MIN(1,(BS247/$C$246-(2*MAX(BL247,Settings!$C$14)-1))/2)),MIN(1,BS247/Settings!$B$5)),"")</f>
        <v>0.962365591397848</v>
      </c>
      <c r="BQ247" s="0" t="n">
        <f aca="false">IF(AND($B$246=1,COUNTIF(C247:BJ247,$C$246)&gt;0),1,0)</f>
        <v>0</v>
      </c>
      <c r="BR247" s="0" t="n">
        <f aca="false">IF(AND($B$246=1,COUNTIF(C247:BJ247,$D$246)&gt;0),1,0)</f>
        <v>1</v>
      </c>
      <c r="BS247" s="0" t="n">
        <f aca="false">N(IF(Polls!H33="",Polls!H37,Polls!H33))</f>
        <v>0.284888888888889</v>
      </c>
      <c r="BT247" s="0" t="str">
        <f aca="false">IF(OR(BS247&gt;=Settings!$B$5,Settings!$C$14&gt;0),"Next seat","Threshold")</f>
        <v>Next seat</v>
      </c>
    </row>
    <row r="248" customFormat="false" ht="15" hidden="false" customHeight="false" outlineLevel="0" collapsed="false">
      <c r="A248" s="0" t="s">
        <v>43</v>
      </c>
      <c r="B248" s="0" t="n">
        <f aca="false">IF(OR(BS248&gt;=Settings!$B$5,Settings!$C$15&gt;0),BS248,0)</f>
        <v>0.279333333333333</v>
      </c>
      <c r="C248" s="0" t="n">
        <f aca="false">$B248/C$1</f>
        <v>0.279333333333333</v>
      </c>
      <c r="D248" s="0" t="n">
        <f aca="false">$B248/D$1</f>
        <v>0.0931111111111111</v>
      </c>
      <c r="E248" s="0" t="n">
        <f aca="false">$B248/E$1</f>
        <v>0.0558666666666667</v>
      </c>
      <c r="F248" s="0" t="n">
        <f aca="false">$B248/F$1</f>
        <v>0.0399047619047619</v>
      </c>
      <c r="G248" s="0" t="n">
        <f aca="false">$B248/G$1</f>
        <v>0.031037037037037</v>
      </c>
      <c r="H248" s="0" t="n">
        <f aca="false">$B248/H$1</f>
        <v>0.0253939393939394</v>
      </c>
      <c r="I248" s="0" t="n">
        <f aca="false">$B248/I$1</f>
        <v>0.0214871794871795</v>
      </c>
      <c r="J248" s="0" t="n">
        <f aca="false">$B248/J$1</f>
        <v>0.0186222222222222</v>
      </c>
      <c r="K248" s="0" t="n">
        <f aca="false">$B248/K$1</f>
        <v>0.0164313725490196</v>
      </c>
      <c r="L248" s="0" t="n">
        <f aca="false">$B248/L$1</f>
        <v>0.0147017543859649</v>
      </c>
      <c r="M248" s="0" t="n">
        <f aca="false">$B248/M$1</f>
        <v>0.0133015873015873</v>
      </c>
      <c r="N248" s="0" t="n">
        <f aca="false">$B248/N$1</f>
        <v>0.0121449275362319</v>
      </c>
      <c r="O248" s="0" t="n">
        <f aca="false">$B248/O$1</f>
        <v>0.0111733333333333</v>
      </c>
      <c r="P248" s="0" t="n">
        <f aca="false">$B248/P$1</f>
        <v>0.0103456790123457</v>
      </c>
      <c r="Q248" s="0" t="n">
        <f aca="false">$B248/Q$1</f>
        <v>0.00963218390804598</v>
      </c>
      <c r="R248" s="0" t="n">
        <f aca="false">$B248/R$1</f>
        <v>0.00901075268817204</v>
      </c>
      <c r="S248" s="0" t="n">
        <f aca="false">$B248/S$1</f>
        <v>0.00846464646464647</v>
      </c>
      <c r="T248" s="0" t="n">
        <f aca="false">$B248/T$1</f>
        <v>0.00798095238095238</v>
      </c>
      <c r="U248" s="0" t="n">
        <f aca="false">$B248/U$1</f>
        <v>0.00754954954954955</v>
      </c>
      <c r="V248" s="0" t="n">
        <f aca="false">$B248/V$1</f>
        <v>0.00716239316239316</v>
      </c>
      <c r="W248" s="0" t="n">
        <f aca="false">$B248/W$1</f>
        <v>0.0068130081300813</v>
      </c>
      <c r="X248" s="0" t="n">
        <f aca="false">$B248/X$1</f>
        <v>0.00649612403100775</v>
      </c>
      <c r="Y248" s="0" t="n">
        <f aca="false">$B248/Y$1</f>
        <v>0.00620740740740741</v>
      </c>
      <c r="Z248" s="0" t="n">
        <f aca="false">$B248/Z$1</f>
        <v>0.00594326241134752</v>
      </c>
      <c r="AA248" s="0" t="n">
        <f aca="false">$B248/AA$1</f>
        <v>0.00570068027210885</v>
      </c>
      <c r="AB248" s="0" t="n">
        <f aca="false">$B248/AB$1</f>
        <v>0.00547712418300654</v>
      </c>
      <c r="AC248" s="0" t="n">
        <f aca="false">$B248/AC$1</f>
        <v>0.00527044025157233</v>
      </c>
      <c r="AD248" s="0" t="n">
        <f aca="false">$B248/AD$1</f>
        <v>0.00507878787878788</v>
      </c>
      <c r="AE248" s="0" t="n">
        <f aca="false">$B248/AE$1</f>
        <v>0.00490058479532164</v>
      </c>
      <c r="AF248" s="0" t="n">
        <f aca="false">$B248/AF$1</f>
        <v>0.00473446327683616</v>
      </c>
      <c r="AG248" s="0" t="n">
        <f aca="false">$B248/AG$1</f>
        <v>0.0045792349726776</v>
      </c>
      <c r="AH248" s="0" t="n">
        <f aca="false">$B248/AH$1</f>
        <v>0.00443386243386244</v>
      </c>
      <c r="AI248" s="0" t="n">
        <f aca="false">$B248/AI$1</f>
        <v>0.0042974358974359</v>
      </c>
      <c r="AJ248" s="0" t="n">
        <f aca="false">$B248/AJ$1</f>
        <v>0.00416915422885572</v>
      </c>
      <c r="AK248" s="0" t="n">
        <f aca="false">$B248/AK$1</f>
        <v>0.00404830917874396</v>
      </c>
      <c r="AL248" s="0" t="n">
        <f aca="false">$B248/AL$1</f>
        <v>0.00393427230046948</v>
      </c>
      <c r="AM248" s="0" t="n">
        <f aca="false">$B248/AM$1</f>
        <v>0.00382648401826484</v>
      </c>
      <c r="AN248" s="0" t="n">
        <f aca="false">$B248/AN$1</f>
        <v>0.00372444444444445</v>
      </c>
      <c r="AO248" s="0" t="n">
        <f aca="false">$B248/AO$1</f>
        <v>0.00362770562770563</v>
      </c>
      <c r="AP248" s="0" t="n">
        <f aca="false">$B248/AP$1</f>
        <v>0.00353586497890295</v>
      </c>
      <c r="AQ248" s="0" t="n">
        <f aca="false">$B248/AQ$1</f>
        <v>0.00344855967078189</v>
      </c>
      <c r="AR248" s="0" t="n">
        <f aca="false">$B248/AR$1</f>
        <v>0.00336546184738956</v>
      </c>
      <c r="AS248" s="0" t="n">
        <f aca="false">$B248/AS$1</f>
        <v>0.00328627450980392</v>
      </c>
      <c r="AT248" s="0" t="n">
        <f aca="false">$B248/AT$1</f>
        <v>0.00321072796934866</v>
      </c>
      <c r="AU248" s="0" t="n">
        <f aca="false">$B248/AU$1</f>
        <v>0.00313857677902622</v>
      </c>
      <c r="AV248" s="0" t="n">
        <f aca="false">$B248/AV$1</f>
        <v>0.00306959706959707</v>
      </c>
      <c r="AW248" s="0" t="n">
        <f aca="false">$B248/AW$1</f>
        <v>0.00300358422939068</v>
      </c>
      <c r="AX248" s="0" t="n">
        <f aca="false">$B248/AX$1</f>
        <v>0.00294035087719298</v>
      </c>
      <c r="AY248" s="0" t="n">
        <f aca="false">$B248/AY$1</f>
        <v>0.00287972508591065</v>
      </c>
      <c r="AZ248" s="0" t="n">
        <f aca="false">$B248/AZ$1</f>
        <v>0.00282154882154882</v>
      </c>
      <c r="BA248" s="0" t="n">
        <f aca="false">$B248/BA$1</f>
        <v>0.00276567656765677</v>
      </c>
      <c r="BB248" s="0" t="n">
        <f aca="false">$B248/BB$1</f>
        <v>0.00271197411003236</v>
      </c>
      <c r="BC248" s="0" t="n">
        <f aca="false">$B248/BC$1</f>
        <v>0.00266031746031746</v>
      </c>
      <c r="BD248" s="0" t="n">
        <f aca="false">$B248/BD$1</f>
        <v>0.00261059190031153</v>
      </c>
      <c r="BE248" s="0" t="n">
        <f aca="false">$B248/BE$1</f>
        <v>0.00256269113149847</v>
      </c>
      <c r="BF248" s="0" t="n">
        <f aca="false">$B248/BF$1</f>
        <v>0.00251651651651652</v>
      </c>
      <c r="BG248" s="0" t="n">
        <f aca="false">$B248/BG$1</f>
        <v>0.00247197640117994</v>
      </c>
      <c r="BH248" s="0" t="n">
        <f aca="false">$B248/BH$1</f>
        <v>0.00242898550724638</v>
      </c>
      <c r="BI248" s="0" t="n">
        <f aca="false">$B248/BI$1</f>
        <v>0.00238746438746439</v>
      </c>
      <c r="BJ248" s="0" t="n">
        <f aca="false">$B248/BJ$1</f>
        <v>0.00234733893557423</v>
      </c>
      <c r="BL248" s="0" t="n">
        <f aca="false">IF($B$246=1,COUNTIF(C248:BJ248,"&gt;="&amp;$C$246),0)</f>
        <v>34</v>
      </c>
      <c r="BM248" s="0" t="n">
        <f aca="false">IF($B$246=1,IF(OR(BS248&gt;=Settings!$B$5,Settings!$C$15&gt;0),MAX(BL248,Settings!$C$15),0),0)</f>
        <v>34</v>
      </c>
      <c r="BN248" s="0" t="n">
        <f aca="false">IF($B$246=1,IF(OR(BS248&gt;=Settings!$B$5,Settings!$C$15&gt;0),MAX(0,(2*MAX(BL248,Settings!$C$15)+1)*$C$246-BS248),MAX(0,Settings!$B$5-BS248)),"")</f>
        <v>0.00586666666666663</v>
      </c>
      <c r="BO248" s="0" t="n">
        <f aca="false">IF($B$246=1,IF(OR(BS248&gt;=Settings!$B$5,Settings!$C$15&gt;0),IF(BL248&lt;=Settings!$C$15,"Protected by electorates",IF(Settings!$C$15=0,MIN(BS248-(2*BL248-1)*$D$246,BS248-Settings!$B$5),BS248-(2*BL248-1)*$D$246)),""),"")</f>
        <v>0.00270209339774558</v>
      </c>
      <c r="BP248" s="0" t="n">
        <f aca="false">IF($B$246=1,IF(OR(BS248&gt;=Settings!$B$5,Settings!$C$15&gt;0),MAX(0,MIN(1,(BS248/$C$246-(2*MAX(BL248,Settings!$C$15)-1))/2)),MIN(1,BS248/Settings!$B$5)),"")</f>
        <v>0.290322580645167</v>
      </c>
      <c r="BQ248" s="0" t="n">
        <f aca="false">IF(AND($B$246=1,COUNTIF(C248:BJ248,$C$246)&gt;0),1,0)</f>
        <v>0</v>
      </c>
      <c r="BR248" s="0" t="n">
        <f aca="false">IF(AND($B$246=1,COUNTIF(C248:BJ248,$D$246)&gt;0),1,0)</f>
        <v>0</v>
      </c>
      <c r="BS248" s="0" t="n">
        <f aca="false">N(IF(Polls!I33="",Polls!I37,Polls!I33))</f>
        <v>0.279333333333333</v>
      </c>
      <c r="BT248" s="0" t="str">
        <f aca="false">IF(OR(BS248&gt;=Settings!$B$5,Settings!$C$15&gt;0),"Next seat","Threshold")</f>
        <v>Next seat</v>
      </c>
    </row>
    <row r="249" customFormat="false" ht="15" hidden="false" customHeight="false" outlineLevel="0" collapsed="false">
      <c r="A249" s="0" t="s">
        <v>45</v>
      </c>
      <c r="B249" s="0" t="n">
        <f aca="false">IF(OR(BS249&gt;=Settings!$B$5,Settings!$C$16&gt;0),BS249,0)</f>
        <v>0.145555555555556</v>
      </c>
      <c r="C249" s="0" t="n">
        <f aca="false">$B249/C$1</f>
        <v>0.145555555555556</v>
      </c>
      <c r="D249" s="0" t="n">
        <f aca="false">$B249/D$1</f>
        <v>0.0485185185185185</v>
      </c>
      <c r="E249" s="0" t="n">
        <f aca="false">$B249/E$1</f>
        <v>0.0291111111111111</v>
      </c>
      <c r="F249" s="0" t="n">
        <f aca="false">$B249/F$1</f>
        <v>0.0207936507936508</v>
      </c>
      <c r="G249" s="0" t="n">
        <f aca="false">$B249/G$1</f>
        <v>0.0161728395061728</v>
      </c>
      <c r="H249" s="0" t="n">
        <f aca="false">$B249/H$1</f>
        <v>0.0132323232323232</v>
      </c>
      <c r="I249" s="0" t="n">
        <f aca="false">$B249/I$1</f>
        <v>0.0111965811965812</v>
      </c>
      <c r="J249" s="0" t="n">
        <f aca="false">$B249/J$1</f>
        <v>0.0097037037037037</v>
      </c>
      <c r="K249" s="0" t="n">
        <f aca="false">$B249/K$1</f>
        <v>0.00856209150326797</v>
      </c>
      <c r="L249" s="0" t="n">
        <f aca="false">$B249/L$1</f>
        <v>0.00766081871345029</v>
      </c>
      <c r="M249" s="0" t="n">
        <f aca="false">$B249/M$1</f>
        <v>0.00693121693121693</v>
      </c>
      <c r="N249" s="0" t="n">
        <f aca="false">$B249/N$1</f>
        <v>0.00632850241545894</v>
      </c>
      <c r="O249" s="0" t="n">
        <f aca="false">$B249/O$1</f>
        <v>0.00582222222222222</v>
      </c>
      <c r="P249" s="0" t="n">
        <f aca="false">$B249/P$1</f>
        <v>0.00539094650205761</v>
      </c>
      <c r="Q249" s="0" t="n">
        <f aca="false">$B249/Q$1</f>
        <v>0.00501915708812261</v>
      </c>
      <c r="R249" s="0" t="n">
        <f aca="false">$B249/R$1</f>
        <v>0.00469534050179212</v>
      </c>
      <c r="S249" s="0" t="n">
        <f aca="false">$B249/S$1</f>
        <v>0.00441077441077441</v>
      </c>
      <c r="T249" s="0" t="n">
        <f aca="false">$B249/T$1</f>
        <v>0.00415873015873016</v>
      </c>
      <c r="U249" s="0" t="n">
        <f aca="false">$B249/U$1</f>
        <v>0.00393393393393393</v>
      </c>
      <c r="V249" s="0" t="n">
        <f aca="false">$B249/V$1</f>
        <v>0.00373219373219373</v>
      </c>
      <c r="W249" s="0" t="n">
        <f aca="false">$B249/W$1</f>
        <v>0.00355013550135501</v>
      </c>
      <c r="X249" s="0" t="n">
        <f aca="false">$B249/X$1</f>
        <v>0.00338501291989664</v>
      </c>
      <c r="Y249" s="0" t="n">
        <f aca="false">$B249/Y$1</f>
        <v>0.00323456790123457</v>
      </c>
      <c r="Z249" s="0" t="n">
        <f aca="false">$B249/Z$1</f>
        <v>0.00309692671394799</v>
      </c>
      <c r="AA249" s="0" t="n">
        <f aca="false">$B249/AA$1</f>
        <v>0.00297052154195011</v>
      </c>
      <c r="AB249" s="0" t="n">
        <f aca="false">$B249/AB$1</f>
        <v>0.00285403050108932</v>
      </c>
      <c r="AC249" s="0" t="n">
        <f aca="false">$B249/AC$1</f>
        <v>0.00274633123689727</v>
      </c>
      <c r="AD249" s="0" t="n">
        <f aca="false">$B249/AD$1</f>
        <v>0.00264646464646465</v>
      </c>
      <c r="AE249" s="0" t="n">
        <f aca="false">$B249/AE$1</f>
        <v>0.00255360623781676</v>
      </c>
      <c r="AF249" s="0" t="n">
        <f aca="false">$B249/AF$1</f>
        <v>0.00246704331450094</v>
      </c>
      <c r="AG249" s="0" t="n">
        <f aca="false">$B249/AG$1</f>
        <v>0.00238615664845173</v>
      </c>
      <c r="AH249" s="0" t="n">
        <f aca="false">$B249/AH$1</f>
        <v>0.00231040564373898</v>
      </c>
      <c r="AI249" s="0" t="n">
        <f aca="false">$B249/AI$1</f>
        <v>0.00223931623931624</v>
      </c>
      <c r="AJ249" s="0" t="n">
        <f aca="false">$B249/AJ$1</f>
        <v>0.00217247097844113</v>
      </c>
      <c r="AK249" s="0" t="n">
        <f aca="false">$B249/AK$1</f>
        <v>0.00210950080515298</v>
      </c>
      <c r="AL249" s="0" t="n">
        <f aca="false">$B249/AL$1</f>
        <v>0.00205007824726135</v>
      </c>
      <c r="AM249" s="0" t="n">
        <f aca="false">$B249/AM$1</f>
        <v>0.00199391171993912</v>
      </c>
      <c r="AN249" s="0" t="n">
        <f aca="false">$B249/AN$1</f>
        <v>0.00194074074074074</v>
      </c>
      <c r="AO249" s="0" t="n">
        <f aca="false">$B249/AO$1</f>
        <v>0.00189033189033189</v>
      </c>
      <c r="AP249" s="0" t="n">
        <f aca="false">$B249/AP$1</f>
        <v>0.00184247538677918</v>
      </c>
      <c r="AQ249" s="0" t="n">
        <f aca="false">$B249/AQ$1</f>
        <v>0.00179698216735254</v>
      </c>
      <c r="AR249" s="0" t="n">
        <f aca="false">$B249/AR$1</f>
        <v>0.00175368139223561</v>
      </c>
      <c r="AS249" s="0" t="n">
        <f aca="false">$B249/AS$1</f>
        <v>0.00171241830065359</v>
      </c>
      <c r="AT249" s="0" t="n">
        <f aca="false">$B249/AT$1</f>
        <v>0.00167305236270754</v>
      </c>
      <c r="AU249" s="0" t="n">
        <f aca="false">$B249/AU$1</f>
        <v>0.0016354556803995</v>
      </c>
      <c r="AV249" s="0" t="n">
        <f aca="false">$B249/AV$1</f>
        <v>0.0015995115995116</v>
      </c>
      <c r="AW249" s="0" t="n">
        <f aca="false">$B249/AW$1</f>
        <v>0.00156511350059737</v>
      </c>
      <c r="AX249" s="0" t="n">
        <f aca="false">$B249/AX$1</f>
        <v>0.00153216374269006</v>
      </c>
      <c r="AY249" s="0" t="n">
        <f aca="false">$B249/AY$1</f>
        <v>0.00150057273768614</v>
      </c>
      <c r="AZ249" s="0" t="n">
        <f aca="false">$B249/AZ$1</f>
        <v>0.0014702581369248</v>
      </c>
      <c r="BA249" s="0" t="n">
        <f aca="false">$B249/BA$1</f>
        <v>0.00144114411441144</v>
      </c>
      <c r="BB249" s="0" t="n">
        <f aca="false">$B249/BB$1</f>
        <v>0.00141316073354908</v>
      </c>
      <c r="BC249" s="0" t="n">
        <f aca="false">$B249/BC$1</f>
        <v>0.00138624338624339</v>
      </c>
      <c r="BD249" s="0" t="n">
        <f aca="false">$B249/BD$1</f>
        <v>0.00136033229491173</v>
      </c>
      <c r="BE249" s="0" t="n">
        <f aca="false">$B249/BE$1</f>
        <v>0.00133537206931702</v>
      </c>
      <c r="BF249" s="0" t="n">
        <f aca="false">$B249/BF$1</f>
        <v>0.00131131131131131</v>
      </c>
      <c r="BG249" s="0" t="n">
        <f aca="false">$B249/BG$1</f>
        <v>0.00128810226155359</v>
      </c>
      <c r="BH249" s="0" t="n">
        <f aca="false">$B249/BH$1</f>
        <v>0.00126570048309179</v>
      </c>
      <c r="BI249" s="0" t="n">
        <f aca="false">$B249/BI$1</f>
        <v>0.00124406457739791</v>
      </c>
      <c r="BJ249" s="0" t="n">
        <f aca="false">$B249/BJ$1</f>
        <v>0.00122315592903828</v>
      </c>
      <c r="BL249" s="0" t="n">
        <f aca="false">IF($B$246=1,COUNTIF(C249:BJ249,"&gt;="&amp;$C$246),0)</f>
        <v>18</v>
      </c>
      <c r="BM249" s="0" t="n">
        <f aca="false">IF($B$246=1,IF(OR(BS249&gt;=Settings!$B$5,Settings!$C$16&gt;0),MAX(BL249,Settings!$C$16),0),0)</f>
        <v>18</v>
      </c>
      <c r="BN249" s="0" t="n">
        <f aca="false">IF($B$246=1,IF(OR(BS249&gt;=Settings!$B$5,Settings!$C$16&gt;0),MAX(0,(2*MAX(BL249,Settings!$C$16)+1)*$C$246-BS249),MAX(0,Settings!$B$5-BS249)),"")</f>
        <v>0.00737777777777779</v>
      </c>
      <c r="BO249" s="0" t="n">
        <f aca="false">IF($B$246=1,IF(OR(BS249&gt;=Settings!$B$5,Settings!$C$16&gt;0),IF(BL249&lt;=Settings!$C$16,"Protected by electorates",IF(Settings!$C$16=0,MIN(BS249-(2*BL249-1)*$D$246,BS249-Settings!$B$5),BS249-(2*BL249-1)*$D$246)),""),"")</f>
        <v>0.0010466988727858</v>
      </c>
      <c r="BP249" s="0" t="n">
        <f aca="false">IF($B$246=1,IF(OR(BS249&gt;=Settings!$B$5,Settings!$C$16&gt;0),MAX(0,MIN(1,(BS249/$C$246-(2*MAX(BL249,Settings!$C$16)-1))/2)),MIN(1,BS249/Settings!$B$5)),"")</f>
        <v>0.107526881720428</v>
      </c>
      <c r="BQ249" s="0" t="n">
        <f aca="false">IF(AND($B$246=1,COUNTIF(C249:BJ249,$C$246)&gt;0),1,0)</f>
        <v>0</v>
      </c>
      <c r="BR249" s="0" t="n">
        <f aca="false">IF(AND($B$246=1,COUNTIF(C249:BJ249,$D$246)&gt;0),1,0)</f>
        <v>0</v>
      </c>
      <c r="BS249" s="0" t="n">
        <f aca="false">N(IF(Polls!J33="",Polls!J37,Polls!J33))</f>
        <v>0.145555555555556</v>
      </c>
      <c r="BT249" s="0" t="str">
        <f aca="false">IF(OR(BS249&gt;=Settings!$B$5,Settings!$C$16&gt;0),"Next seat","Threshold")</f>
        <v>Next seat</v>
      </c>
    </row>
    <row r="250" customFormat="false" ht="15" hidden="false" customHeight="false" outlineLevel="0" collapsed="false">
      <c r="A250" s="0" t="s">
        <v>46</v>
      </c>
      <c r="B250" s="0" t="n">
        <f aca="false">IF(OR(BS250&gt;=Settings!$B$5,Settings!$C$17&gt;0),BS250,0)</f>
        <v>0.0963333333333333</v>
      </c>
      <c r="C250" s="0" t="n">
        <f aca="false">$B250/C$1</f>
        <v>0.0963333333333333</v>
      </c>
      <c r="D250" s="0" t="n">
        <f aca="false">$B250/D$1</f>
        <v>0.0321111111111111</v>
      </c>
      <c r="E250" s="0" t="n">
        <f aca="false">$B250/E$1</f>
        <v>0.0192666666666667</v>
      </c>
      <c r="F250" s="0" t="n">
        <f aca="false">$B250/F$1</f>
        <v>0.0137619047619048</v>
      </c>
      <c r="G250" s="0" t="n">
        <f aca="false">$B250/G$1</f>
        <v>0.0107037037037037</v>
      </c>
      <c r="H250" s="0" t="n">
        <f aca="false">$B250/H$1</f>
        <v>0.00875757575757576</v>
      </c>
      <c r="I250" s="0" t="n">
        <f aca="false">$B250/I$1</f>
        <v>0.00741025641025641</v>
      </c>
      <c r="J250" s="0" t="n">
        <f aca="false">$B250/J$1</f>
        <v>0.00642222222222222</v>
      </c>
      <c r="K250" s="0" t="n">
        <f aca="false">$B250/K$1</f>
        <v>0.00566666666666667</v>
      </c>
      <c r="L250" s="0" t="n">
        <f aca="false">$B250/L$1</f>
        <v>0.00507017543859649</v>
      </c>
      <c r="M250" s="0" t="n">
        <f aca="false">$B250/M$1</f>
        <v>0.00458730158730159</v>
      </c>
      <c r="N250" s="0" t="n">
        <f aca="false">$B250/N$1</f>
        <v>0.00418840579710145</v>
      </c>
      <c r="O250" s="0" t="n">
        <f aca="false">$B250/O$1</f>
        <v>0.00385333333333333</v>
      </c>
      <c r="P250" s="0" t="n">
        <f aca="false">$B250/P$1</f>
        <v>0.0035679012345679</v>
      </c>
      <c r="Q250" s="0" t="n">
        <f aca="false">$B250/Q$1</f>
        <v>0.00332183908045977</v>
      </c>
      <c r="R250" s="0" t="n">
        <f aca="false">$B250/R$1</f>
        <v>0.00310752688172043</v>
      </c>
      <c r="S250" s="0" t="n">
        <f aca="false">$B250/S$1</f>
        <v>0.00291919191919192</v>
      </c>
      <c r="T250" s="0" t="n">
        <f aca="false">$B250/T$1</f>
        <v>0.00275238095238095</v>
      </c>
      <c r="U250" s="0" t="n">
        <f aca="false">$B250/U$1</f>
        <v>0.0026036036036036</v>
      </c>
      <c r="V250" s="0" t="n">
        <f aca="false">$B250/V$1</f>
        <v>0.00247008547008547</v>
      </c>
      <c r="W250" s="0" t="n">
        <f aca="false">$B250/W$1</f>
        <v>0.00234959349593496</v>
      </c>
      <c r="X250" s="0" t="n">
        <f aca="false">$B250/X$1</f>
        <v>0.00224031007751938</v>
      </c>
      <c r="Y250" s="0" t="n">
        <f aca="false">$B250/Y$1</f>
        <v>0.00214074074074074</v>
      </c>
      <c r="Z250" s="0" t="n">
        <f aca="false">$B250/Z$1</f>
        <v>0.00204964539007092</v>
      </c>
      <c r="AA250" s="0" t="n">
        <f aca="false">$B250/AA$1</f>
        <v>0.00196598639455782</v>
      </c>
      <c r="AB250" s="0" t="n">
        <f aca="false">$B250/AB$1</f>
        <v>0.00188888888888889</v>
      </c>
      <c r="AC250" s="0" t="n">
        <f aca="false">$B250/AC$1</f>
        <v>0.00181761006289308</v>
      </c>
      <c r="AD250" s="0" t="n">
        <f aca="false">$B250/AD$1</f>
        <v>0.00175151515151515</v>
      </c>
      <c r="AE250" s="0" t="n">
        <f aca="false">$B250/AE$1</f>
        <v>0.00169005847953216</v>
      </c>
      <c r="AF250" s="0" t="n">
        <f aca="false">$B250/AF$1</f>
        <v>0.00163276836158192</v>
      </c>
      <c r="AG250" s="0" t="n">
        <f aca="false">$B250/AG$1</f>
        <v>0.0015792349726776</v>
      </c>
      <c r="AH250" s="0" t="n">
        <f aca="false">$B250/AH$1</f>
        <v>0.00152910052910053</v>
      </c>
      <c r="AI250" s="0" t="n">
        <f aca="false">$B250/AI$1</f>
        <v>0.00148205128205128</v>
      </c>
      <c r="AJ250" s="0" t="n">
        <f aca="false">$B250/AJ$1</f>
        <v>0.00143781094527363</v>
      </c>
      <c r="AK250" s="0" t="n">
        <f aca="false">$B250/AK$1</f>
        <v>0.00139613526570048</v>
      </c>
      <c r="AL250" s="0" t="n">
        <f aca="false">$B250/AL$1</f>
        <v>0.00135680751173709</v>
      </c>
      <c r="AM250" s="0" t="n">
        <f aca="false">$B250/AM$1</f>
        <v>0.00131963470319635</v>
      </c>
      <c r="AN250" s="0" t="n">
        <f aca="false">$B250/AN$1</f>
        <v>0.00128444444444444</v>
      </c>
      <c r="AO250" s="0" t="n">
        <f aca="false">$B250/AO$1</f>
        <v>0.00125108225108225</v>
      </c>
      <c r="AP250" s="0" t="n">
        <f aca="false">$B250/AP$1</f>
        <v>0.00121940928270042</v>
      </c>
      <c r="AQ250" s="0" t="n">
        <f aca="false">$B250/AQ$1</f>
        <v>0.00118930041152263</v>
      </c>
      <c r="AR250" s="0" t="n">
        <f aca="false">$B250/AR$1</f>
        <v>0.00116064257028112</v>
      </c>
      <c r="AS250" s="0" t="n">
        <f aca="false">$B250/AS$1</f>
        <v>0.00113333333333333</v>
      </c>
      <c r="AT250" s="0" t="n">
        <f aca="false">$B250/AT$1</f>
        <v>0.00110727969348659</v>
      </c>
      <c r="AU250" s="0" t="n">
        <f aca="false">$B250/AU$1</f>
        <v>0.00108239700374532</v>
      </c>
      <c r="AV250" s="0" t="n">
        <f aca="false">$B250/AV$1</f>
        <v>0.00105860805860806</v>
      </c>
      <c r="AW250" s="0" t="n">
        <f aca="false">$B250/AW$1</f>
        <v>0.00103584229390681</v>
      </c>
      <c r="AX250" s="0" t="n">
        <f aca="false">$B250/AX$1</f>
        <v>0.0010140350877193</v>
      </c>
      <c r="AY250" s="0" t="n">
        <f aca="false">$B250/AY$1</f>
        <v>0.000993127147766323</v>
      </c>
      <c r="AZ250" s="0" t="n">
        <f aca="false">$B250/AZ$1</f>
        <v>0.000973063973063973</v>
      </c>
      <c r="BA250" s="0" t="n">
        <f aca="false">$B250/BA$1</f>
        <v>0.000953795379537954</v>
      </c>
      <c r="BB250" s="0" t="n">
        <f aca="false">$B250/BB$1</f>
        <v>0.000935275080906149</v>
      </c>
      <c r="BC250" s="0" t="n">
        <f aca="false">$B250/BC$1</f>
        <v>0.000917460317460317</v>
      </c>
      <c r="BD250" s="0" t="n">
        <f aca="false">$B250/BD$1</f>
        <v>0.000900311526479751</v>
      </c>
      <c r="BE250" s="0" t="n">
        <f aca="false">$B250/BE$1</f>
        <v>0.000883792048929664</v>
      </c>
      <c r="BF250" s="0" t="n">
        <f aca="false">$B250/BF$1</f>
        <v>0.000867867867867868</v>
      </c>
      <c r="BG250" s="0" t="n">
        <f aca="false">$B250/BG$1</f>
        <v>0.000852507374631268</v>
      </c>
      <c r="BH250" s="0" t="n">
        <f aca="false">$B250/BH$1</f>
        <v>0.00083768115942029</v>
      </c>
      <c r="BI250" s="0" t="n">
        <f aca="false">$B250/BI$1</f>
        <v>0.000823361823361823</v>
      </c>
      <c r="BJ250" s="0" t="n">
        <f aca="false">$B250/BJ$1</f>
        <v>0.00080952380952381</v>
      </c>
      <c r="BL250" s="0" t="n">
        <f aca="false">IF($B$246=1,COUNTIF(C250:BJ250,"&gt;="&amp;$C$246),0)</f>
        <v>12</v>
      </c>
      <c r="BM250" s="0" t="n">
        <f aca="false">IF($B$246=1,IF(OR(BS250&gt;=Settings!$B$5,Settings!$C$17&gt;0),MAX(BL250,Settings!$C$17),0),0)</f>
        <v>12</v>
      </c>
      <c r="BN250" s="0" t="n">
        <f aca="false">IF($B$246=1,IF(OR(BS250&gt;=Settings!$B$5,Settings!$C$17&gt;0),MAX(0,(2*MAX(BL250,Settings!$C$17)+1)*$C$246-BS250),MAX(0,Settings!$B$5-BS250)),"")</f>
        <v>0.00700000000000001</v>
      </c>
      <c r="BO250" s="0" t="n">
        <f aca="false">IF($B$246=1,IF(OR(BS250&gt;=Settings!$B$5,Settings!$C$17&gt;0),IF(BL250&lt;=Settings!$C$17,"Protected by electorates",IF(Settings!$C$17=0,MIN(BS250-(2*BL250-1)*$D$246,BS250-Settings!$B$5),BS250-(2*BL250-1)*$D$246)),""),"")</f>
        <v>0.00137037037037036</v>
      </c>
      <c r="BP250" s="0" t="n">
        <f aca="false">IF($B$246=1,IF(OR(BS250&gt;=Settings!$B$5,Settings!$C$17&gt;0),MAX(0,MIN(1,(BS250/$C$246-(2*MAX(BL250,Settings!$C$17)-1))/2)),MIN(1,BS250/Settings!$B$5)),"")</f>
        <v>0.153225806451612</v>
      </c>
      <c r="BQ250" s="0" t="n">
        <f aca="false">IF(AND($B$246=1,COUNTIF(C250:BJ250,$C$246)&gt;0),1,0)</f>
        <v>0</v>
      </c>
      <c r="BR250" s="0" t="n">
        <f aca="false">IF(AND($B$246=1,COUNTIF(C250:BJ250,$D$246)&gt;0),1,0)</f>
        <v>0</v>
      </c>
      <c r="BS250" s="0" t="n">
        <f aca="false">N(IF(Polls!K33="",Polls!K37,Polls!K33))</f>
        <v>0.0963333333333333</v>
      </c>
      <c r="BT250" s="0" t="str">
        <f aca="false">IF(OR(BS250&gt;=Settings!$B$5,Settings!$C$17&gt;0),"Next seat","Threshold")</f>
        <v>Next seat</v>
      </c>
    </row>
    <row r="251" customFormat="false" ht="15" hidden="false" customHeight="false" outlineLevel="0" collapsed="false">
      <c r="A251" s="0" t="s">
        <v>48</v>
      </c>
      <c r="B251" s="0" t="n">
        <f aca="false">IF(OR(BS251&gt;=Settings!$B$5,Settings!$C$18&gt;0),BS251,0)</f>
        <v>0.103333333333333</v>
      </c>
      <c r="C251" s="0" t="n">
        <f aca="false">$B251/C$1</f>
        <v>0.103333333333333</v>
      </c>
      <c r="D251" s="0" t="n">
        <f aca="false">$B251/D$1</f>
        <v>0.0344444444444444</v>
      </c>
      <c r="E251" s="0" t="n">
        <f aca="false">$B251/E$1</f>
        <v>0.0206666666666667</v>
      </c>
      <c r="F251" s="0" t="n">
        <f aca="false">$B251/F$1</f>
        <v>0.0147619047619048</v>
      </c>
      <c r="G251" s="0" t="n">
        <f aca="false">$B251/G$1</f>
        <v>0.0114814814814815</v>
      </c>
      <c r="H251" s="0" t="n">
        <f aca="false">$B251/H$1</f>
        <v>0.00939393939393939</v>
      </c>
      <c r="I251" s="0" t="n">
        <f aca="false">$B251/I$1</f>
        <v>0.00794871794871795</v>
      </c>
      <c r="J251" s="0" t="n">
        <f aca="false">$B251/J$1</f>
        <v>0.00688888888888889</v>
      </c>
      <c r="K251" s="0" t="n">
        <f aca="false">$B251/K$1</f>
        <v>0.00607843137254902</v>
      </c>
      <c r="L251" s="0" t="n">
        <f aca="false">$B251/L$1</f>
        <v>0.00543859649122807</v>
      </c>
      <c r="M251" s="0" t="n">
        <f aca="false">$B251/M$1</f>
        <v>0.00492063492063492</v>
      </c>
      <c r="N251" s="0" t="n">
        <f aca="false">$B251/N$1</f>
        <v>0.00449275362318841</v>
      </c>
      <c r="O251" s="0" t="n">
        <f aca="false">$B251/O$1</f>
        <v>0.00413333333333333</v>
      </c>
      <c r="P251" s="0" t="n">
        <f aca="false">$B251/P$1</f>
        <v>0.00382716049382716</v>
      </c>
      <c r="Q251" s="0" t="n">
        <f aca="false">$B251/Q$1</f>
        <v>0.0035632183908046</v>
      </c>
      <c r="R251" s="0" t="n">
        <f aca="false">$B251/R$1</f>
        <v>0.00333333333333333</v>
      </c>
      <c r="S251" s="0" t="n">
        <f aca="false">$B251/S$1</f>
        <v>0.00313131313131313</v>
      </c>
      <c r="T251" s="0" t="n">
        <f aca="false">$B251/T$1</f>
        <v>0.00295238095238095</v>
      </c>
      <c r="U251" s="0" t="n">
        <f aca="false">$B251/U$1</f>
        <v>0.00279279279279279</v>
      </c>
      <c r="V251" s="0" t="n">
        <f aca="false">$B251/V$1</f>
        <v>0.00264957264957265</v>
      </c>
      <c r="W251" s="0" t="n">
        <f aca="false">$B251/W$1</f>
        <v>0.00252032520325203</v>
      </c>
      <c r="X251" s="0" t="n">
        <f aca="false">$B251/X$1</f>
        <v>0.0024031007751938</v>
      </c>
      <c r="Y251" s="0" t="n">
        <f aca="false">$B251/Y$1</f>
        <v>0.0022962962962963</v>
      </c>
      <c r="Z251" s="0" t="n">
        <f aca="false">$B251/Z$1</f>
        <v>0.00219858156028369</v>
      </c>
      <c r="AA251" s="0" t="n">
        <f aca="false">$B251/AA$1</f>
        <v>0.00210884353741497</v>
      </c>
      <c r="AB251" s="0" t="n">
        <f aca="false">$B251/AB$1</f>
        <v>0.00202614379084967</v>
      </c>
      <c r="AC251" s="0" t="n">
        <f aca="false">$B251/AC$1</f>
        <v>0.0019496855345912</v>
      </c>
      <c r="AD251" s="0" t="n">
        <f aca="false">$B251/AD$1</f>
        <v>0.00187878787878788</v>
      </c>
      <c r="AE251" s="0" t="n">
        <f aca="false">$B251/AE$1</f>
        <v>0.00181286549707602</v>
      </c>
      <c r="AF251" s="0" t="n">
        <f aca="false">$B251/AF$1</f>
        <v>0.00175141242937853</v>
      </c>
      <c r="AG251" s="0" t="n">
        <f aca="false">$B251/AG$1</f>
        <v>0.00169398907103825</v>
      </c>
      <c r="AH251" s="0" t="n">
        <f aca="false">$B251/AH$1</f>
        <v>0.00164021164021164</v>
      </c>
      <c r="AI251" s="0" t="n">
        <f aca="false">$B251/AI$1</f>
        <v>0.00158974358974359</v>
      </c>
      <c r="AJ251" s="0" t="n">
        <f aca="false">$B251/AJ$1</f>
        <v>0.00154228855721393</v>
      </c>
      <c r="AK251" s="0" t="n">
        <f aca="false">$B251/AK$1</f>
        <v>0.0014975845410628</v>
      </c>
      <c r="AL251" s="0" t="n">
        <f aca="false">$B251/AL$1</f>
        <v>0.00145539906103286</v>
      </c>
      <c r="AM251" s="0" t="n">
        <f aca="false">$B251/AM$1</f>
        <v>0.00141552511415525</v>
      </c>
      <c r="AN251" s="0" t="n">
        <f aca="false">$B251/AN$1</f>
        <v>0.00137777777777778</v>
      </c>
      <c r="AO251" s="0" t="n">
        <f aca="false">$B251/AO$1</f>
        <v>0.00134199134199134</v>
      </c>
      <c r="AP251" s="0" t="n">
        <f aca="false">$B251/AP$1</f>
        <v>0.00130801687763713</v>
      </c>
      <c r="AQ251" s="0" t="n">
        <f aca="false">$B251/AQ$1</f>
        <v>0.00127572016460905</v>
      </c>
      <c r="AR251" s="0" t="n">
        <f aca="false">$B251/AR$1</f>
        <v>0.00124497991967872</v>
      </c>
      <c r="AS251" s="0" t="n">
        <f aca="false">$B251/AS$1</f>
        <v>0.0012156862745098</v>
      </c>
      <c r="AT251" s="0" t="n">
        <f aca="false">$B251/AT$1</f>
        <v>0.00118773946360153</v>
      </c>
      <c r="AU251" s="0" t="n">
        <f aca="false">$B251/AU$1</f>
        <v>0.00116104868913858</v>
      </c>
      <c r="AV251" s="0" t="n">
        <f aca="false">$B251/AV$1</f>
        <v>0.00113553113553114</v>
      </c>
      <c r="AW251" s="0" t="n">
        <f aca="false">$B251/AW$1</f>
        <v>0.00111111111111111</v>
      </c>
      <c r="AX251" s="0" t="n">
        <f aca="false">$B251/AX$1</f>
        <v>0.00108771929824561</v>
      </c>
      <c r="AY251" s="0" t="n">
        <f aca="false">$B251/AY$1</f>
        <v>0.00106529209621993</v>
      </c>
      <c r="AZ251" s="0" t="n">
        <f aca="false">$B251/AZ$1</f>
        <v>0.00104377104377104</v>
      </c>
      <c r="BA251" s="0" t="n">
        <f aca="false">$B251/BA$1</f>
        <v>0.00102310231023102</v>
      </c>
      <c r="BB251" s="0" t="n">
        <f aca="false">$B251/BB$1</f>
        <v>0.00100323624595469</v>
      </c>
      <c r="BC251" s="0" t="n">
        <f aca="false">$B251/BC$1</f>
        <v>0.000984126984126984</v>
      </c>
      <c r="BD251" s="0" t="n">
        <f aca="false">$B251/BD$1</f>
        <v>0.000965732087227414</v>
      </c>
      <c r="BE251" s="0" t="n">
        <f aca="false">$B251/BE$1</f>
        <v>0.000948012232415902</v>
      </c>
      <c r="BF251" s="0" t="n">
        <f aca="false">$B251/BF$1</f>
        <v>0.000930930930930931</v>
      </c>
      <c r="BG251" s="0" t="n">
        <f aca="false">$B251/BG$1</f>
        <v>0.000914454277286136</v>
      </c>
      <c r="BH251" s="0" t="n">
        <f aca="false">$B251/BH$1</f>
        <v>0.000898550724637681</v>
      </c>
      <c r="BI251" s="0" t="n">
        <f aca="false">$B251/BI$1</f>
        <v>0.000883190883190883</v>
      </c>
      <c r="BJ251" s="0" t="n">
        <f aca="false">$B251/BJ$1</f>
        <v>0.000868347338935574</v>
      </c>
      <c r="BL251" s="0" t="n">
        <f aca="false">IF($B$246=1,COUNTIF(C251:BJ251,"&gt;="&amp;$C$246),0)</f>
        <v>13</v>
      </c>
      <c r="BM251" s="0" t="n">
        <f aca="false">IF($B$246=1,IF(OR(BS251&gt;=Settings!$B$5,Settings!$C$18&gt;0),MAX(BL251,Settings!$C$18),0),0)</f>
        <v>13</v>
      </c>
      <c r="BN251" s="0" t="n">
        <f aca="false">IF($B$246=1,IF(OR(BS251&gt;=Settings!$B$5,Settings!$C$18&gt;0),MAX(0,(2*MAX(BL251,Settings!$C$18)+1)*$C$246-BS251),MAX(0,Settings!$B$5-BS251)),"")</f>
        <v>0.00826666666666667</v>
      </c>
      <c r="BO251" s="0" t="n">
        <f aca="false">IF($B$246=1,IF(OR(BS251&gt;=Settings!$B$5,Settings!$C$18&gt;0),IF(BL251&lt;=Settings!$C$18,"Protected by electorates",IF(Settings!$C$18=0,MIN(BS251-(2*BL251-1)*$D$246,BS251-Settings!$B$5),BS251-(2*BL251-1)*$D$246)),""),"")</f>
        <v>0.000112721417069223</v>
      </c>
      <c r="BP251" s="0" t="n">
        <f aca="false">IF($B$246=1,IF(OR(BS251&gt;=Settings!$B$5,Settings!$C$18&gt;0),MAX(0,MIN(1,(BS251/$C$246-(2*MAX(BL251,Settings!$C$18)-1))/2)),MIN(1,BS251/Settings!$B$5)),"")</f>
        <v>0</v>
      </c>
      <c r="BQ251" s="0" t="n">
        <f aca="false">IF(AND($B$246=1,COUNTIF(C251:BJ251,$C$246)&gt;0),1,0)</f>
        <v>1</v>
      </c>
      <c r="BR251" s="0" t="n">
        <f aca="false">IF(AND($B$246=1,COUNTIF(C251:BJ251,$D$246)&gt;0),1,0)</f>
        <v>0</v>
      </c>
      <c r="BS251" s="0" t="n">
        <f aca="false">N(IF(Polls!L33="",Polls!L37,Polls!L33))</f>
        <v>0.103333333333333</v>
      </c>
      <c r="BT251" s="0" t="str">
        <f aca="false">IF(OR(BS251&gt;=Settings!$B$5,Settings!$C$18&gt;0),"Next seat","Threshold")</f>
        <v>Next seat</v>
      </c>
    </row>
    <row r="252" customFormat="false" ht="15" hidden="false" customHeight="false" outlineLevel="0" collapsed="false">
      <c r="A252" s="0" t="s">
        <v>50</v>
      </c>
      <c r="B252" s="0" t="n">
        <f aca="false">IF(OR(BS252&gt;=Settings!$B$5,Settings!$C$19&gt;0),BS252,0)</f>
        <v>0.0145</v>
      </c>
      <c r="C252" s="0" t="n">
        <f aca="false">$B252/C$1</f>
        <v>0.0145</v>
      </c>
      <c r="D252" s="0" t="n">
        <f aca="false">$B252/D$1</f>
        <v>0.00483333333333333</v>
      </c>
      <c r="E252" s="0" t="n">
        <f aca="false">$B252/E$1</f>
        <v>0.0029</v>
      </c>
      <c r="F252" s="0" t="n">
        <f aca="false">$B252/F$1</f>
        <v>0.00207142857142857</v>
      </c>
      <c r="G252" s="0" t="n">
        <f aca="false">$B252/G$1</f>
        <v>0.00161111111111111</v>
      </c>
      <c r="H252" s="0" t="n">
        <f aca="false">$B252/H$1</f>
        <v>0.00131818181818182</v>
      </c>
      <c r="I252" s="0" t="n">
        <f aca="false">$B252/I$1</f>
        <v>0.00111538461538462</v>
      </c>
      <c r="J252" s="0" t="n">
        <f aca="false">$B252/J$1</f>
        <v>0.000966666666666667</v>
      </c>
      <c r="K252" s="0" t="n">
        <f aca="false">$B252/K$1</f>
        <v>0.000852941176470588</v>
      </c>
      <c r="L252" s="0" t="n">
        <f aca="false">$B252/L$1</f>
        <v>0.000763157894736842</v>
      </c>
      <c r="M252" s="0" t="n">
        <f aca="false">$B252/M$1</f>
        <v>0.000690476190476191</v>
      </c>
      <c r="N252" s="0" t="n">
        <f aca="false">$B252/N$1</f>
        <v>0.000630434782608696</v>
      </c>
      <c r="O252" s="0" t="n">
        <f aca="false">$B252/O$1</f>
        <v>0.00058</v>
      </c>
      <c r="P252" s="0" t="n">
        <f aca="false">$B252/P$1</f>
        <v>0.000537037037037037</v>
      </c>
      <c r="Q252" s="0" t="n">
        <f aca="false">$B252/Q$1</f>
        <v>0.0005</v>
      </c>
      <c r="R252" s="0" t="n">
        <f aca="false">$B252/R$1</f>
        <v>0.000467741935483871</v>
      </c>
      <c r="S252" s="0" t="n">
        <f aca="false">$B252/S$1</f>
        <v>0.000439393939393939</v>
      </c>
      <c r="T252" s="0" t="n">
        <f aca="false">$B252/T$1</f>
        <v>0.000414285714285714</v>
      </c>
      <c r="U252" s="0" t="n">
        <f aca="false">$B252/U$1</f>
        <v>0.000391891891891892</v>
      </c>
      <c r="V252" s="0" t="n">
        <f aca="false">$B252/V$1</f>
        <v>0.000371794871794872</v>
      </c>
      <c r="W252" s="0" t="n">
        <f aca="false">$B252/W$1</f>
        <v>0.000353658536585366</v>
      </c>
      <c r="X252" s="0" t="n">
        <f aca="false">$B252/X$1</f>
        <v>0.000337209302325581</v>
      </c>
      <c r="Y252" s="0" t="n">
        <f aca="false">$B252/Y$1</f>
        <v>0.000322222222222222</v>
      </c>
      <c r="Z252" s="0" t="n">
        <f aca="false">$B252/Z$1</f>
        <v>0.000308510638297872</v>
      </c>
      <c r="AA252" s="0" t="n">
        <f aca="false">$B252/AA$1</f>
        <v>0.000295918367346939</v>
      </c>
      <c r="AB252" s="0" t="n">
        <f aca="false">$B252/AB$1</f>
        <v>0.000284313725490196</v>
      </c>
      <c r="AC252" s="0" t="n">
        <f aca="false">$B252/AC$1</f>
        <v>0.000273584905660377</v>
      </c>
      <c r="AD252" s="0" t="n">
        <f aca="false">$B252/AD$1</f>
        <v>0.000263636363636364</v>
      </c>
      <c r="AE252" s="0" t="n">
        <f aca="false">$B252/AE$1</f>
        <v>0.000254385964912281</v>
      </c>
      <c r="AF252" s="0" t="n">
        <f aca="false">$B252/AF$1</f>
        <v>0.000245762711864407</v>
      </c>
      <c r="AG252" s="0" t="n">
        <f aca="false">$B252/AG$1</f>
        <v>0.000237704918032787</v>
      </c>
      <c r="AH252" s="0" t="n">
        <f aca="false">$B252/AH$1</f>
        <v>0.00023015873015873</v>
      </c>
      <c r="AI252" s="0" t="n">
        <f aca="false">$B252/AI$1</f>
        <v>0.000223076923076923</v>
      </c>
      <c r="AJ252" s="0" t="n">
        <f aca="false">$B252/AJ$1</f>
        <v>0.000216417910447761</v>
      </c>
      <c r="AK252" s="0" t="n">
        <f aca="false">$B252/AK$1</f>
        <v>0.000210144927536232</v>
      </c>
      <c r="AL252" s="0" t="n">
        <f aca="false">$B252/AL$1</f>
        <v>0.000204225352112676</v>
      </c>
      <c r="AM252" s="0" t="n">
        <f aca="false">$B252/AM$1</f>
        <v>0.000198630136986301</v>
      </c>
      <c r="AN252" s="0" t="n">
        <f aca="false">$B252/AN$1</f>
        <v>0.000193333333333333</v>
      </c>
      <c r="AO252" s="0" t="n">
        <f aca="false">$B252/AO$1</f>
        <v>0.000188311688311688</v>
      </c>
      <c r="AP252" s="0" t="n">
        <f aca="false">$B252/AP$1</f>
        <v>0.000183544303797468</v>
      </c>
      <c r="AQ252" s="0" t="n">
        <f aca="false">$B252/AQ$1</f>
        <v>0.000179012345679012</v>
      </c>
      <c r="AR252" s="0" t="n">
        <f aca="false">$B252/AR$1</f>
        <v>0.000174698795180723</v>
      </c>
      <c r="AS252" s="0" t="n">
        <f aca="false">$B252/AS$1</f>
        <v>0.000170588235294118</v>
      </c>
      <c r="AT252" s="0" t="n">
        <f aca="false">$B252/AT$1</f>
        <v>0.000166666666666667</v>
      </c>
      <c r="AU252" s="0" t="n">
        <f aca="false">$B252/AU$1</f>
        <v>0.000162921348314607</v>
      </c>
      <c r="AV252" s="0" t="n">
        <f aca="false">$B252/AV$1</f>
        <v>0.000159340659340659</v>
      </c>
      <c r="AW252" s="0" t="n">
        <f aca="false">$B252/AW$1</f>
        <v>0.000155913978494624</v>
      </c>
      <c r="AX252" s="0" t="n">
        <f aca="false">$B252/AX$1</f>
        <v>0.000152631578947368</v>
      </c>
      <c r="AY252" s="0" t="n">
        <f aca="false">$B252/AY$1</f>
        <v>0.000149484536082474</v>
      </c>
      <c r="AZ252" s="0" t="n">
        <f aca="false">$B252/AZ$1</f>
        <v>0.000146464646464646</v>
      </c>
      <c r="BA252" s="0" t="n">
        <f aca="false">$B252/BA$1</f>
        <v>0.000143564356435644</v>
      </c>
      <c r="BB252" s="0" t="n">
        <f aca="false">$B252/BB$1</f>
        <v>0.000140776699029126</v>
      </c>
      <c r="BC252" s="0" t="n">
        <f aca="false">$B252/BC$1</f>
        <v>0.000138095238095238</v>
      </c>
      <c r="BD252" s="0" t="n">
        <f aca="false">$B252/BD$1</f>
        <v>0.000135514018691589</v>
      </c>
      <c r="BE252" s="0" t="n">
        <f aca="false">$B252/BE$1</f>
        <v>0.00013302752293578</v>
      </c>
      <c r="BF252" s="0" t="n">
        <f aca="false">$B252/BF$1</f>
        <v>0.000130630630630631</v>
      </c>
      <c r="BG252" s="0" t="n">
        <f aca="false">$B252/BG$1</f>
        <v>0.000128318584070796</v>
      </c>
      <c r="BH252" s="0" t="n">
        <f aca="false">$B252/BH$1</f>
        <v>0.000126086956521739</v>
      </c>
      <c r="BI252" s="0" t="n">
        <f aca="false">$B252/BI$1</f>
        <v>0.000123931623931624</v>
      </c>
      <c r="BJ252" s="0" t="n">
        <f aca="false">$B252/BJ$1</f>
        <v>0.000121848739495798</v>
      </c>
      <c r="BL252" s="0" t="n">
        <f aca="false">IF($B$246=1,COUNTIF(C252:BJ252,"&gt;="&amp;$C$246),0)</f>
        <v>2</v>
      </c>
      <c r="BM252" s="0" t="n">
        <f aca="false">IF($B$246=1,IF(OR(BS252&gt;=Settings!$B$5,Settings!$C$19&gt;0),MAX(BL252,Settings!$C$19),0),0)</f>
        <v>4</v>
      </c>
      <c r="BN252" s="0" t="n">
        <f aca="false">IF($B$246=1,IF(OR(BS252&gt;=Settings!$B$5,Settings!$C$19&gt;0),MAX(0,(2*MAX(BL252,Settings!$C$19)+1)*$C$246-BS252),MAX(0,Settings!$B$5-BS252)),"")</f>
        <v>0.0227</v>
      </c>
      <c r="BO252" s="0" t="str">
        <f aca="false">IF($B$246=1,IF(OR(BS252&gt;=Settings!$B$5,Settings!$C$19&gt;0),IF(BL252&lt;=Settings!$C$19,"Protected by electorates",IF(Settings!$C$19=0,MIN(BS252-(2*BL252-1)*$D$246,BS252-Settings!$B$5),BS252-(2*BL252-1)*$D$246)),""),"")</f>
        <v>Protected by electorates</v>
      </c>
      <c r="BP252" s="0" t="n">
        <f aca="false">IF($B$246=1,IF(OR(BS252&gt;=Settings!$B$5,Settings!$C$19&gt;0),MAX(0,MIN(1,(BS252/$C$246-(2*MAX(BL252,Settings!$C$19)-1))/2)),MIN(1,BS252/Settings!$B$5)),"")</f>
        <v>0</v>
      </c>
      <c r="BQ252" s="0" t="n">
        <f aca="false">IF(AND($B$246=1,COUNTIF(C252:BJ252,$C$246)&gt;0),1,0)</f>
        <v>0</v>
      </c>
      <c r="BR252" s="0" t="n">
        <f aca="false">IF(AND($B$246=1,COUNTIF(C252:BJ252,$D$246)&gt;0),1,0)</f>
        <v>0</v>
      </c>
      <c r="BS252" s="0" t="n">
        <f aca="false">N(IF(Polls!M33="",Polls!M37,Polls!M33))</f>
        <v>0.0145</v>
      </c>
      <c r="BT252" s="0" t="str">
        <f aca="false">IF(OR(BS252&gt;=Settings!$B$5,Settings!$C$19&gt;0),"Next seat","Threshold")</f>
        <v>Next seat</v>
      </c>
    </row>
    <row r="253" customFormat="false" ht="15" hidden="false" customHeight="false" outlineLevel="0" collapsed="false">
      <c r="A253" s="0" t="s">
        <v>52</v>
      </c>
      <c r="B253" s="0" t="n">
        <f aca="false">IF(OR(BS253&gt;=Settings!$B$5,Settings!$C$20&gt;0),BS253,0)</f>
        <v>0.0614444444444445</v>
      </c>
      <c r="C253" s="0" t="n">
        <f aca="false">$B253/C$1</f>
        <v>0.0614444444444445</v>
      </c>
      <c r="D253" s="0" t="n">
        <f aca="false">$B253/D$1</f>
        <v>0.0204814814814815</v>
      </c>
      <c r="E253" s="0" t="n">
        <f aca="false">$B253/E$1</f>
        <v>0.0122888888888889</v>
      </c>
      <c r="F253" s="0" t="n">
        <f aca="false">$B253/F$1</f>
        <v>0.00877777777777778</v>
      </c>
      <c r="G253" s="0" t="n">
        <f aca="false">$B253/G$1</f>
        <v>0.00682716049382716</v>
      </c>
      <c r="H253" s="0" t="n">
        <f aca="false">$B253/H$1</f>
        <v>0.00558585858585859</v>
      </c>
      <c r="I253" s="0" t="n">
        <f aca="false">$B253/I$1</f>
        <v>0.00472649572649573</v>
      </c>
      <c r="J253" s="0" t="n">
        <f aca="false">$B253/J$1</f>
        <v>0.0040962962962963</v>
      </c>
      <c r="K253" s="0" t="n">
        <f aca="false">$B253/K$1</f>
        <v>0.00361437908496732</v>
      </c>
      <c r="L253" s="0" t="n">
        <f aca="false">$B253/L$1</f>
        <v>0.00323391812865497</v>
      </c>
      <c r="M253" s="0" t="n">
        <f aca="false">$B253/M$1</f>
        <v>0.00292592592592593</v>
      </c>
      <c r="N253" s="0" t="n">
        <f aca="false">$B253/N$1</f>
        <v>0.00267149758454106</v>
      </c>
      <c r="O253" s="0" t="n">
        <f aca="false">$B253/O$1</f>
        <v>0.00245777777777778</v>
      </c>
      <c r="P253" s="0" t="n">
        <f aca="false">$B253/P$1</f>
        <v>0.00227572016460905</v>
      </c>
      <c r="Q253" s="0" t="n">
        <f aca="false">$B253/Q$1</f>
        <v>0.00211877394636015</v>
      </c>
      <c r="R253" s="0" t="n">
        <f aca="false">$B253/R$1</f>
        <v>0.0019820788530466</v>
      </c>
      <c r="S253" s="0" t="n">
        <f aca="false">$B253/S$1</f>
        <v>0.00186195286195286</v>
      </c>
      <c r="T253" s="0" t="n">
        <f aca="false">$B253/T$1</f>
        <v>0.00175555555555556</v>
      </c>
      <c r="U253" s="0" t="n">
        <f aca="false">$B253/U$1</f>
        <v>0.00166066066066066</v>
      </c>
      <c r="V253" s="0" t="n">
        <f aca="false">$B253/V$1</f>
        <v>0.00157549857549858</v>
      </c>
      <c r="W253" s="0" t="n">
        <f aca="false">$B253/W$1</f>
        <v>0.00149864498644986</v>
      </c>
      <c r="X253" s="0" t="n">
        <f aca="false">$B253/X$1</f>
        <v>0.00142894056847545</v>
      </c>
      <c r="Y253" s="0" t="n">
        <f aca="false">$B253/Y$1</f>
        <v>0.00136543209876543</v>
      </c>
      <c r="Z253" s="0" t="n">
        <f aca="false">$B253/Z$1</f>
        <v>0.00130732860520095</v>
      </c>
      <c r="AA253" s="0" t="n">
        <f aca="false">$B253/AA$1</f>
        <v>0.00125396825396825</v>
      </c>
      <c r="AB253" s="0" t="n">
        <f aca="false">$B253/AB$1</f>
        <v>0.00120479302832244</v>
      </c>
      <c r="AC253" s="0" t="n">
        <f aca="false">$B253/AC$1</f>
        <v>0.00115932914046122</v>
      </c>
      <c r="AD253" s="0" t="n">
        <f aca="false">$B253/AD$1</f>
        <v>0.00111717171717172</v>
      </c>
      <c r="AE253" s="0" t="n">
        <f aca="false">$B253/AE$1</f>
        <v>0.00107797270955166</v>
      </c>
      <c r="AF253" s="0" t="n">
        <f aca="false">$B253/AF$1</f>
        <v>0.00104143126177024</v>
      </c>
      <c r="AG253" s="0" t="n">
        <f aca="false">$B253/AG$1</f>
        <v>0.00100728597449909</v>
      </c>
      <c r="AH253" s="0" t="n">
        <f aca="false">$B253/AH$1</f>
        <v>0.000975308641975309</v>
      </c>
      <c r="AI253" s="0" t="n">
        <f aca="false">$B253/AI$1</f>
        <v>0.000945299145299145</v>
      </c>
      <c r="AJ253" s="0" t="n">
        <f aca="false">$B253/AJ$1</f>
        <v>0.000917081260364843</v>
      </c>
      <c r="AK253" s="0" t="n">
        <f aca="false">$B253/AK$1</f>
        <v>0.000890499194847021</v>
      </c>
      <c r="AL253" s="0" t="n">
        <f aca="false">$B253/AL$1</f>
        <v>0.000865414710485133</v>
      </c>
      <c r="AM253" s="0" t="n">
        <f aca="false">$B253/AM$1</f>
        <v>0.000841704718417047</v>
      </c>
      <c r="AN253" s="0" t="n">
        <f aca="false">$B253/AN$1</f>
        <v>0.000819259259259259</v>
      </c>
      <c r="AO253" s="0" t="n">
        <f aca="false">$B253/AO$1</f>
        <v>0.000797979797979798</v>
      </c>
      <c r="AP253" s="0" t="n">
        <f aca="false">$B253/AP$1</f>
        <v>0.000777777777777778</v>
      </c>
      <c r="AQ253" s="0" t="n">
        <f aca="false">$B253/AQ$1</f>
        <v>0.000758573388203018</v>
      </c>
      <c r="AR253" s="0" t="n">
        <f aca="false">$B253/AR$1</f>
        <v>0.000740294511378849</v>
      </c>
      <c r="AS253" s="0" t="n">
        <f aca="false">$B253/AS$1</f>
        <v>0.000722875816993464</v>
      </c>
      <c r="AT253" s="0" t="n">
        <f aca="false">$B253/AT$1</f>
        <v>0.000706257982120051</v>
      </c>
      <c r="AU253" s="0" t="n">
        <f aca="false">$B253/AU$1</f>
        <v>0.000690387016229713</v>
      </c>
      <c r="AV253" s="0" t="n">
        <f aca="false">$B253/AV$1</f>
        <v>0.000675213675213675</v>
      </c>
      <c r="AW253" s="0" t="n">
        <f aca="false">$B253/AW$1</f>
        <v>0.000660692951015532</v>
      </c>
      <c r="AX253" s="0" t="n">
        <f aca="false">$B253/AX$1</f>
        <v>0.000646783625730994</v>
      </c>
      <c r="AY253" s="0" t="n">
        <f aca="false">$B253/AY$1</f>
        <v>0.000633447880870561</v>
      </c>
      <c r="AZ253" s="0" t="n">
        <f aca="false">$B253/AZ$1</f>
        <v>0.000620650953984287</v>
      </c>
      <c r="BA253" s="0" t="n">
        <f aca="false">$B253/BA$1</f>
        <v>0.000608360836083608</v>
      </c>
      <c r="BB253" s="0" t="n">
        <f aca="false">$B253/BB$1</f>
        <v>0.000596548004314995</v>
      </c>
      <c r="BC253" s="0" t="n">
        <f aca="false">$B253/BC$1</f>
        <v>0.000585185185185185</v>
      </c>
      <c r="BD253" s="0" t="n">
        <f aca="false">$B253/BD$1</f>
        <v>0.000574247144340602</v>
      </c>
      <c r="BE253" s="0" t="n">
        <f aca="false">$B253/BE$1</f>
        <v>0.000563710499490316</v>
      </c>
      <c r="BF253" s="0" t="n">
        <f aca="false">$B253/BF$1</f>
        <v>0.000553553553553554</v>
      </c>
      <c r="BG253" s="0" t="n">
        <f aca="false">$B253/BG$1</f>
        <v>0.000543756145526057</v>
      </c>
      <c r="BH253" s="0" t="n">
        <f aca="false">$B253/BH$1</f>
        <v>0.000534299516908213</v>
      </c>
      <c r="BI253" s="0" t="n">
        <f aca="false">$B253/BI$1</f>
        <v>0.000525166191832859</v>
      </c>
      <c r="BJ253" s="0" t="n">
        <f aca="false">$B253/BJ$1</f>
        <v>0.000516339869281046</v>
      </c>
      <c r="BL253" s="0" t="n">
        <f aca="false">IF($B$246=1,COUNTIF(C253:BJ253,"&gt;="&amp;$C$246),0)</f>
        <v>7</v>
      </c>
      <c r="BM253" s="0" t="n">
        <f aca="false">IF($B$246=1,IF(OR(BS253&gt;=Settings!$B$5,Settings!$C$20&gt;0),MAX(BL253,Settings!$C$20),0),0)</f>
        <v>7</v>
      </c>
      <c r="BN253" s="0" t="n">
        <f aca="false">IF($B$246=1,IF(OR(BS253&gt;=Settings!$B$5,Settings!$C$20&gt;0),MAX(0,(2*MAX(BL253,Settings!$C$20)+1)*$C$246-BS253),MAX(0,Settings!$B$5-BS253)),"")</f>
        <v>0.000555555555555552</v>
      </c>
      <c r="BO253" s="0" t="n">
        <f aca="false">IF($B$246=1,IF(OR(BS253&gt;=Settings!$B$5,Settings!$C$20&gt;0),IF(BL253&lt;=Settings!$C$20,"Protected by electorates",IF(Settings!$C$20=0,MIN(BS253-(2*BL253-1)*$D$246,BS253-Settings!$B$5),BS253-(2*BL253-1)*$D$246)),""),"")</f>
        <v>0.00776972624798712</v>
      </c>
      <c r="BP253" s="0" t="n">
        <f aca="false">IF($B$246=1,IF(OR(BS253&gt;=Settings!$B$5,Settings!$C$20&gt;0),MAX(0,MIN(1,(BS253/$C$246-(2*MAX(BL253,Settings!$C$20)-1))/2)),MIN(1,BS253/Settings!$B$5)),"")</f>
        <v>0.932795698924731</v>
      </c>
      <c r="BQ253" s="0" t="n">
        <f aca="false">IF(AND($B$246=1,COUNTIF(C253:BJ253,$C$246)&gt;0),1,0)</f>
        <v>0</v>
      </c>
      <c r="BR253" s="0" t="n">
        <f aca="false">IF(AND($B$246=1,COUNTIF(C253:BJ253,$D$246)&gt;0),1,0)</f>
        <v>0</v>
      </c>
      <c r="BS253" s="0" t="n">
        <f aca="false">N(IF(Polls!N33="",Polls!N37,Polls!N33))</f>
        <v>0.0614444444444445</v>
      </c>
      <c r="BT253" s="0" t="str">
        <f aca="false">IF(OR(BS253&gt;=Settings!$B$5,Settings!$C$20&gt;0),"Next seat","Threshold")</f>
        <v>Next seat</v>
      </c>
    </row>
    <row r="255" customFormat="false" ht="15" hidden="false" customHeight="false" outlineLevel="0" collapsed="false">
      <c r="A255" s="41" t="n">
        <f aca="false">Polls!A34</f>
        <v>0</v>
      </c>
      <c r="B255" s="17" t="n">
        <f aca="false">IF(SUM(BS256:BS262)&gt;0,1,0)</f>
        <v>1</v>
      </c>
      <c r="C255" s="17" t="n">
        <f aca="false">IF(B255=1,LARGE(C256:BJ262,Settings!$B$4),0)</f>
        <v>0.00413333333333333</v>
      </c>
      <c r="D255" s="17" t="n">
        <f aca="false">IF(B255=1,LARGE(C256:BJ262,Settings!$B$4+1),0)</f>
        <v>0.00412882447665056</v>
      </c>
      <c r="E255" s="0" t="str">
        <f aca="false">IF(B255=1,IFERROR(INDEX(A256:A262,MATCH(1,BQ256:BQ262,0)),""),"")</f>
        <v>NZF</v>
      </c>
      <c r="F255" s="0" t="str">
        <f aca="false">IF(B255=1,IFERROR(INDEX(A256:A262,MATCH(1,BR256:BR262,0)),""),"")</f>
        <v>NAT</v>
      </c>
      <c r="G255" s="17" t="n">
        <f aca="false">IF(B255=1,SUM(BM256:BM262)+Settings!$B$10,"")</f>
        <v>122</v>
      </c>
    </row>
    <row r="256" customFormat="false" ht="15" hidden="false" customHeight="false" outlineLevel="0" collapsed="false">
      <c r="A256" s="0" t="s">
        <v>41</v>
      </c>
      <c r="B256" s="0" t="n">
        <f aca="false">IF(OR(BS256&gt;=Settings!$B$5,Settings!$C$14&gt;0),BS256,0)</f>
        <v>0.284888888888889</v>
      </c>
      <c r="C256" s="0" t="n">
        <f aca="false">$B256/C$1</f>
        <v>0.284888888888889</v>
      </c>
      <c r="D256" s="0" t="n">
        <f aca="false">$B256/D$1</f>
        <v>0.094962962962963</v>
      </c>
      <c r="E256" s="0" t="n">
        <f aca="false">$B256/E$1</f>
        <v>0.0569777777777778</v>
      </c>
      <c r="F256" s="0" t="n">
        <f aca="false">$B256/F$1</f>
        <v>0.0406984126984127</v>
      </c>
      <c r="G256" s="0" t="n">
        <f aca="false">$B256/G$1</f>
        <v>0.0316543209876543</v>
      </c>
      <c r="H256" s="0" t="n">
        <f aca="false">$B256/H$1</f>
        <v>0.0258989898989899</v>
      </c>
      <c r="I256" s="0" t="n">
        <f aca="false">$B256/I$1</f>
        <v>0.0219145299145299</v>
      </c>
      <c r="J256" s="0" t="n">
        <f aca="false">$B256/J$1</f>
        <v>0.0189925925925926</v>
      </c>
      <c r="K256" s="0" t="n">
        <f aca="false">$B256/K$1</f>
        <v>0.0167581699346405</v>
      </c>
      <c r="L256" s="0" t="n">
        <f aca="false">$B256/L$1</f>
        <v>0.0149941520467836</v>
      </c>
      <c r="M256" s="0" t="n">
        <f aca="false">$B256/M$1</f>
        <v>0.0135661375661376</v>
      </c>
      <c r="N256" s="0" t="n">
        <f aca="false">$B256/N$1</f>
        <v>0.0123864734299517</v>
      </c>
      <c r="O256" s="0" t="n">
        <f aca="false">$B256/O$1</f>
        <v>0.0113955555555556</v>
      </c>
      <c r="P256" s="0" t="n">
        <f aca="false">$B256/P$1</f>
        <v>0.0105514403292181</v>
      </c>
      <c r="Q256" s="0" t="n">
        <f aca="false">$B256/Q$1</f>
        <v>0.00982375478927203</v>
      </c>
      <c r="R256" s="0" t="n">
        <f aca="false">$B256/R$1</f>
        <v>0.0091899641577061</v>
      </c>
      <c r="S256" s="0" t="n">
        <f aca="false">$B256/S$1</f>
        <v>0.00863299663299663</v>
      </c>
      <c r="T256" s="0" t="n">
        <f aca="false">$B256/T$1</f>
        <v>0.00813968253968254</v>
      </c>
      <c r="U256" s="0" t="n">
        <f aca="false">$B256/U$1</f>
        <v>0.0076996996996997</v>
      </c>
      <c r="V256" s="0" t="n">
        <f aca="false">$B256/V$1</f>
        <v>0.00730484330484331</v>
      </c>
      <c r="W256" s="0" t="n">
        <f aca="false">$B256/W$1</f>
        <v>0.00694850948509485</v>
      </c>
      <c r="X256" s="0" t="n">
        <f aca="false">$B256/X$1</f>
        <v>0.00662532299741602</v>
      </c>
      <c r="Y256" s="0" t="n">
        <f aca="false">$B256/Y$1</f>
        <v>0.00633086419753086</v>
      </c>
      <c r="Z256" s="0" t="n">
        <f aca="false">$B256/Z$1</f>
        <v>0.00606146572104019</v>
      </c>
      <c r="AA256" s="0" t="n">
        <f aca="false">$B256/AA$1</f>
        <v>0.0058140589569161</v>
      </c>
      <c r="AB256" s="0" t="n">
        <f aca="false">$B256/AB$1</f>
        <v>0.00558605664488018</v>
      </c>
      <c r="AC256" s="0" t="n">
        <f aca="false">$B256/AC$1</f>
        <v>0.00537526205450734</v>
      </c>
      <c r="AD256" s="0" t="n">
        <f aca="false">$B256/AD$1</f>
        <v>0.00517979797979798</v>
      </c>
      <c r="AE256" s="0" t="n">
        <f aca="false">$B256/AE$1</f>
        <v>0.00499805068226121</v>
      </c>
      <c r="AF256" s="0" t="n">
        <f aca="false">$B256/AF$1</f>
        <v>0.0048286252354049</v>
      </c>
      <c r="AG256" s="0" t="n">
        <f aca="false">$B256/AG$1</f>
        <v>0.00467030965391621</v>
      </c>
      <c r="AH256" s="0" t="n">
        <f aca="false">$B256/AH$1</f>
        <v>0.00452204585537919</v>
      </c>
      <c r="AI256" s="0" t="n">
        <f aca="false">$B256/AI$1</f>
        <v>0.00438290598290598</v>
      </c>
      <c r="AJ256" s="0" t="n">
        <f aca="false">$B256/AJ$1</f>
        <v>0.00425207296849088</v>
      </c>
      <c r="AK256" s="0" t="n">
        <f aca="false">$B256/AK$1</f>
        <v>0.00412882447665056</v>
      </c>
      <c r="AL256" s="0" t="n">
        <f aca="false">$B256/AL$1</f>
        <v>0.00401251956181534</v>
      </c>
      <c r="AM256" s="0" t="n">
        <f aca="false">$B256/AM$1</f>
        <v>0.00390258751902588</v>
      </c>
      <c r="AN256" s="0" t="n">
        <f aca="false">$B256/AN$1</f>
        <v>0.00379851851851852</v>
      </c>
      <c r="AO256" s="0" t="n">
        <f aca="false">$B256/AO$1</f>
        <v>0.0036998556998557</v>
      </c>
      <c r="AP256" s="0" t="n">
        <f aca="false">$B256/AP$1</f>
        <v>0.00360618846694796</v>
      </c>
      <c r="AQ256" s="0" t="n">
        <f aca="false">$B256/AQ$1</f>
        <v>0.00351714677640604</v>
      </c>
      <c r="AR256" s="0" t="n">
        <f aca="false">$B256/AR$1</f>
        <v>0.00343239625167336</v>
      </c>
      <c r="AS256" s="0" t="n">
        <f aca="false">$B256/AS$1</f>
        <v>0.00335163398692811</v>
      </c>
      <c r="AT256" s="0" t="n">
        <f aca="false">$B256/AT$1</f>
        <v>0.00327458492975734</v>
      </c>
      <c r="AU256" s="0" t="n">
        <f aca="false">$B256/AU$1</f>
        <v>0.00320099875156055</v>
      </c>
      <c r="AV256" s="0" t="n">
        <f aca="false">$B256/AV$1</f>
        <v>0.00313064713064713</v>
      </c>
      <c r="AW256" s="0" t="n">
        <f aca="false">$B256/AW$1</f>
        <v>0.00306332138590203</v>
      </c>
      <c r="AX256" s="0" t="n">
        <f aca="false">$B256/AX$1</f>
        <v>0.00299883040935673</v>
      </c>
      <c r="AY256" s="0" t="n">
        <f aca="false">$B256/AY$1</f>
        <v>0.00293699885452463</v>
      </c>
      <c r="AZ256" s="0" t="n">
        <f aca="false">$B256/AZ$1</f>
        <v>0.00287766554433221</v>
      </c>
      <c r="BA256" s="0" t="n">
        <f aca="false">$B256/BA$1</f>
        <v>0.00282068206820682</v>
      </c>
      <c r="BB256" s="0" t="n">
        <f aca="false">$B256/BB$1</f>
        <v>0.00276591154261057</v>
      </c>
      <c r="BC256" s="0" t="n">
        <f aca="false">$B256/BC$1</f>
        <v>0.00271322751322751</v>
      </c>
      <c r="BD256" s="0" t="n">
        <f aca="false">$B256/BD$1</f>
        <v>0.00266251298026999</v>
      </c>
      <c r="BE256" s="0" t="n">
        <f aca="false">$B256/BE$1</f>
        <v>0.00261365953109072</v>
      </c>
      <c r="BF256" s="0" t="n">
        <f aca="false">$B256/BF$1</f>
        <v>0.00256656656656657</v>
      </c>
      <c r="BG256" s="0" t="n">
        <f aca="false">$B256/BG$1</f>
        <v>0.00252114060963619</v>
      </c>
      <c r="BH256" s="0" t="n">
        <f aca="false">$B256/BH$1</f>
        <v>0.00247729468599034</v>
      </c>
      <c r="BI256" s="0" t="n">
        <f aca="false">$B256/BI$1</f>
        <v>0.0024349477682811</v>
      </c>
      <c r="BJ256" s="0" t="n">
        <f aca="false">$B256/BJ$1</f>
        <v>0.00239402427637722</v>
      </c>
      <c r="BL256" s="0" t="n">
        <f aca="false">IF($B$255=1,COUNTIF(C256:BJ256,"&gt;="&amp;$C$255),0)</f>
        <v>34</v>
      </c>
      <c r="BM256" s="0" t="n">
        <f aca="false">IF($B$255=1,IF(OR(BS256&gt;=Settings!$B$5,Settings!$C$14&gt;0),MAX(BL256,Settings!$C$14),0),0)</f>
        <v>34</v>
      </c>
      <c r="BN256" s="0" t="n">
        <f aca="false">IF($B$255=1,IF(OR(BS256&gt;=Settings!$B$5,Settings!$C$14&gt;0),MAX(0,(2*MAX(BL256,Settings!$C$14)+1)*$C$255-BS256),MAX(0,Settings!$B$5-BS256)),"")</f>
        <v>0.000311111111111095</v>
      </c>
      <c r="BO256" s="0" t="n">
        <f aca="false">IF($B$255=1,IF(OR(BS256&gt;=Settings!$B$5,Settings!$C$14&gt;0),IF(BL256&lt;=Settings!$C$14,"Protected by electorates",IF(Settings!$C$14=0,MIN(BS256-(2*BL256-1)*$D$255,BS256-Settings!$B$5),BS256-(2*BL256-1)*$D$255)),""),"")</f>
        <v>0.00825764895330111</v>
      </c>
      <c r="BP256" s="0" t="n">
        <f aca="false">IF($B$255=1,IF(OR(BS256&gt;=Settings!$B$5,Settings!$C$14&gt;0),MAX(0,MIN(1,(BS256/$C$255-(2*MAX(BL256,Settings!$C$14)-1))/2)),MIN(1,BS256/Settings!$B$5)),"")</f>
        <v>0.962365591397848</v>
      </c>
      <c r="BQ256" s="0" t="n">
        <f aca="false">IF(AND($B$255=1,COUNTIF(C256:BJ256,$C$255)&gt;0),1,0)</f>
        <v>0</v>
      </c>
      <c r="BR256" s="0" t="n">
        <f aca="false">IF(AND($B$255=1,COUNTIF(C256:BJ256,$D$255)&gt;0),1,0)</f>
        <v>1</v>
      </c>
      <c r="BS256" s="0" t="n">
        <f aca="false">N(IF(Polls!H34="",Polls!H37,Polls!H34))</f>
        <v>0.284888888888889</v>
      </c>
      <c r="BT256" s="0" t="str">
        <f aca="false">IF(OR(BS256&gt;=Settings!$B$5,Settings!$C$14&gt;0),"Next seat","Threshold")</f>
        <v>Next seat</v>
      </c>
    </row>
    <row r="257" customFormat="false" ht="15" hidden="false" customHeight="false" outlineLevel="0" collapsed="false">
      <c r="A257" s="0" t="s">
        <v>43</v>
      </c>
      <c r="B257" s="0" t="n">
        <f aca="false">IF(OR(BS257&gt;=Settings!$B$5,Settings!$C$15&gt;0),BS257,0)</f>
        <v>0.279333333333333</v>
      </c>
      <c r="C257" s="0" t="n">
        <f aca="false">$B257/C$1</f>
        <v>0.279333333333333</v>
      </c>
      <c r="D257" s="0" t="n">
        <f aca="false">$B257/D$1</f>
        <v>0.0931111111111111</v>
      </c>
      <c r="E257" s="0" t="n">
        <f aca="false">$B257/E$1</f>
        <v>0.0558666666666667</v>
      </c>
      <c r="F257" s="0" t="n">
        <f aca="false">$B257/F$1</f>
        <v>0.0399047619047619</v>
      </c>
      <c r="G257" s="0" t="n">
        <f aca="false">$B257/G$1</f>
        <v>0.031037037037037</v>
      </c>
      <c r="H257" s="0" t="n">
        <f aca="false">$B257/H$1</f>
        <v>0.0253939393939394</v>
      </c>
      <c r="I257" s="0" t="n">
        <f aca="false">$B257/I$1</f>
        <v>0.0214871794871795</v>
      </c>
      <c r="J257" s="0" t="n">
        <f aca="false">$B257/J$1</f>
        <v>0.0186222222222222</v>
      </c>
      <c r="K257" s="0" t="n">
        <f aca="false">$B257/K$1</f>
        <v>0.0164313725490196</v>
      </c>
      <c r="L257" s="0" t="n">
        <f aca="false">$B257/L$1</f>
        <v>0.0147017543859649</v>
      </c>
      <c r="M257" s="0" t="n">
        <f aca="false">$B257/M$1</f>
        <v>0.0133015873015873</v>
      </c>
      <c r="N257" s="0" t="n">
        <f aca="false">$B257/N$1</f>
        <v>0.0121449275362319</v>
      </c>
      <c r="O257" s="0" t="n">
        <f aca="false">$B257/O$1</f>
        <v>0.0111733333333333</v>
      </c>
      <c r="P257" s="0" t="n">
        <f aca="false">$B257/P$1</f>
        <v>0.0103456790123457</v>
      </c>
      <c r="Q257" s="0" t="n">
        <f aca="false">$B257/Q$1</f>
        <v>0.00963218390804598</v>
      </c>
      <c r="R257" s="0" t="n">
        <f aca="false">$B257/R$1</f>
        <v>0.00901075268817204</v>
      </c>
      <c r="S257" s="0" t="n">
        <f aca="false">$B257/S$1</f>
        <v>0.00846464646464647</v>
      </c>
      <c r="T257" s="0" t="n">
        <f aca="false">$B257/T$1</f>
        <v>0.00798095238095238</v>
      </c>
      <c r="U257" s="0" t="n">
        <f aca="false">$B257/U$1</f>
        <v>0.00754954954954955</v>
      </c>
      <c r="V257" s="0" t="n">
        <f aca="false">$B257/V$1</f>
        <v>0.00716239316239316</v>
      </c>
      <c r="W257" s="0" t="n">
        <f aca="false">$B257/W$1</f>
        <v>0.0068130081300813</v>
      </c>
      <c r="X257" s="0" t="n">
        <f aca="false">$B257/X$1</f>
        <v>0.00649612403100775</v>
      </c>
      <c r="Y257" s="0" t="n">
        <f aca="false">$B257/Y$1</f>
        <v>0.00620740740740741</v>
      </c>
      <c r="Z257" s="0" t="n">
        <f aca="false">$B257/Z$1</f>
        <v>0.00594326241134752</v>
      </c>
      <c r="AA257" s="0" t="n">
        <f aca="false">$B257/AA$1</f>
        <v>0.00570068027210885</v>
      </c>
      <c r="AB257" s="0" t="n">
        <f aca="false">$B257/AB$1</f>
        <v>0.00547712418300654</v>
      </c>
      <c r="AC257" s="0" t="n">
        <f aca="false">$B257/AC$1</f>
        <v>0.00527044025157233</v>
      </c>
      <c r="AD257" s="0" t="n">
        <f aca="false">$B257/AD$1</f>
        <v>0.00507878787878788</v>
      </c>
      <c r="AE257" s="0" t="n">
        <f aca="false">$B257/AE$1</f>
        <v>0.00490058479532164</v>
      </c>
      <c r="AF257" s="0" t="n">
        <f aca="false">$B257/AF$1</f>
        <v>0.00473446327683616</v>
      </c>
      <c r="AG257" s="0" t="n">
        <f aca="false">$B257/AG$1</f>
        <v>0.0045792349726776</v>
      </c>
      <c r="AH257" s="0" t="n">
        <f aca="false">$B257/AH$1</f>
        <v>0.00443386243386244</v>
      </c>
      <c r="AI257" s="0" t="n">
        <f aca="false">$B257/AI$1</f>
        <v>0.0042974358974359</v>
      </c>
      <c r="AJ257" s="0" t="n">
        <f aca="false">$B257/AJ$1</f>
        <v>0.00416915422885572</v>
      </c>
      <c r="AK257" s="0" t="n">
        <f aca="false">$B257/AK$1</f>
        <v>0.00404830917874396</v>
      </c>
      <c r="AL257" s="0" t="n">
        <f aca="false">$B257/AL$1</f>
        <v>0.00393427230046948</v>
      </c>
      <c r="AM257" s="0" t="n">
        <f aca="false">$B257/AM$1</f>
        <v>0.00382648401826484</v>
      </c>
      <c r="AN257" s="0" t="n">
        <f aca="false">$B257/AN$1</f>
        <v>0.00372444444444445</v>
      </c>
      <c r="AO257" s="0" t="n">
        <f aca="false">$B257/AO$1</f>
        <v>0.00362770562770563</v>
      </c>
      <c r="AP257" s="0" t="n">
        <f aca="false">$B257/AP$1</f>
        <v>0.00353586497890295</v>
      </c>
      <c r="AQ257" s="0" t="n">
        <f aca="false">$B257/AQ$1</f>
        <v>0.00344855967078189</v>
      </c>
      <c r="AR257" s="0" t="n">
        <f aca="false">$B257/AR$1</f>
        <v>0.00336546184738956</v>
      </c>
      <c r="AS257" s="0" t="n">
        <f aca="false">$B257/AS$1</f>
        <v>0.00328627450980392</v>
      </c>
      <c r="AT257" s="0" t="n">
        <f aca="false">$B257/AT$1</f>
        <v>0.00321072796934866</v>
      </c>
      <c r="AU257" s="0" t="n">
        <f aca="false">$B257/AU$1</f>
        <v>0.00313857677902622</v>
      </c>
      <c r="AV257" s="0" t="n">
        <f aca="false">$B257/AV$1</f>
        <v>0.00306959706959707</v>
      </c>
      <c r="AW257" s="0" t="n">
        <f aca="false">$B257/AW$1</f>
        <v>0.00300358422939068</v>
      </c>
      <c r="AX257" s="0" t="n">
        <f aca="false">$B257/AX$1</f>
        <v>0.00294035087719298</v>
      </c>
      <c r="AY257" s="0" t="n">
        <f aca="false">$B257/AY$1</f>
        <v>0.00287972508591065</v>
      </c>
      <c r="AZ257" s="0" t="n">
        <f aca="false">$B257/AZ$1</f>
        <v>0.00282154882154882</v>
      </c>
      <c r="BA257" s="0" t="n">
        <f aca="false">$B257/BA$1</f>
        <v>0.00276567656765677</v>
      </c>
      <c r="BB257" s="0" t="n">
        <f aca="false">$B257/BB$1</f>
        <v>0.00271197411003236</v>
      </c>
      <c r="BC257" s="0" t="n">
        <f aca="false">$B257/BC$1</f>
        <v>0.00266031746031746</v>
      </c>
      <c r="BD257" s="0" t="n">
        <f aca="false">$B257/BD$1</f>
        <v>0.00261059190031153</v>
      </c>
      <c r="BE257" s="0" t="n">
        <f aca="false">$B257/BE$1</f>
        <v>0.00256269113149847</v>
      </c>
      <c r="BF257" s="0" t="n">
        <f aca="false">$B257/BF$1</f>
        <v>0.00251651651651652</v>
      </c>
      <c r="BG257" s="0" t="n">
        <f aca="false">$B257/BG$1</f>
        <v>0.00247197640117994</v>
      </c>
      <c r="BH257" s="0" t="n">
        <f aca="false">$B257/BH$1</f>
        <v>0.00242898550724638</v>
      </c>
      <c r="BI257" s="0" t="n">
        <f aca="false">$B257/BI$1</f>
        <v>0.00238746438746439</v>
      </c>
      <c r="BJ257" s="0" t="n">
        <f aca="false">$B257/BJ$1</f>
        <v>0.00234733893557423</v>
      </c>
      <c r="BL257" s="0" t="n">
        <f aca="false">IF($B$255=1,COUNTIF(C257:BJ257,"&gt;="&amp;$C$255),0)</f>
        <v>34</v>
      </c>
      <c r="BM257" s="0" t="n">
        <f aca="false">IF($B$255=1,IF(OR(BS257&gt;=Settings!$B$5,Settings!$C$15&gt;0),MAX(BL257,Settings!$C$15),0),0)</f>
        <v>34</v>
      </c>
      <c r="BN257" s="0" t="n">
        <f aca="false">IF($B$255=1,IF(OR(BS257&gt;=Settings!$B$5,Settings!$C$15&gt;0),MAX(0,(2*MAX(BL257,Settings!$C$15)+1)*$C$255-BS257),MAX(0,Settings!$B$5-BS257)),"")</f>
        <v>0.00586666666666663</v>
      </c>
      <c r="BO257" s="0" t="n">
        <f aca="false">IF($B$255=1,IF(OR(BS257&gt;=Settings!$B$5,Settings!$C$15&gt;0),IF(BL257&lt;=Settings!$C$15,"Protected by electorates",IF(Settings!$C$15=0,MIN(BS257-(2*BL257-1)*$D$255,BS257-Settings!$B$5),BS257-(2*BL257-1)*$D$255)),""),"")</f>
        <v>0.00270209339774558</v>
      </c>
      <c r="BP257" s="0" t="n">
        <f aca="false">IF($B$255=1,IF(OR(BS257&gt;=Settings!$B$5,Settings!$C$15&gt;0),MAX(0,MIN(1,(BS257/$C$255-(2*MAX(BL257,Settings!$C$15)-1))/2)),MIN(1,BS257/Settings!$B$5)),"")</f>
        <v>0.290322580645167</v>
      </c>
      <c r="BQ257" s="0" t="n">
        <f aca="false">IF(AND($B$255=1,COUNTIF(C257:BJ257,$C$255)&gt;0),1,0)</f>
        <v>0</v>
      </c>
      <c r="BR257" s="0" t="n">
        <f aca="false">IF(AND($B$255=1,COUNTIF(C257:BJ257,$D$255)&gt;0),1,0)</f>
        <v>0</v>
      </c>
      <c r="BS257" s="0" t="n">
        <f aca="false">N(IF(Polls!I34="",Polls!I37,Polls!I34))</f>
        <v>0.279333333333333</v>
      </c>
      <c r="BT257" s="0" t="str">
        <f aca="false">IF(OR(BS257&gt;=Settings!$B$5,Settings!$C$15&gt;0),"Next seat","Threshold")</f>
        <v>Next seat</v>
      </c>
    </row>
    <row r="258" customFormat="false" ht="15" hidden="false" customHeight="false" outlineLevel="0" collapsed="false">
      <c r="A258" s="0" t="s">
        <v>45</v>
      </c>
      <c r="B258" s="0" t="n">
        <f aca="false">IF(OR(BS258&gt;=Settings!$B$5,Settings!$C$16&gt;0),BS258,0)</f>
        <v>0.145555555555556</v>
      </c>
      <c r="C258" s="0" t="n">
        <f aca="false">$B258/C$1</f>
        <v>0.145555555555556</v>
      </c>
      <c r="D258" s="0" t="n">
        <f aca="false">$B258/D$1</f>
        <v>0.0485185185185185</v>
      </c>
      <c r="E258" s="0" t="n">
        <f aca="false">$B258/E$1</f>
        <v>0.0291111111111111</v>
      </c>
      <c r="F258" s="0" t="n">
        <f aca="false">$B258/F$1</f>
        <v>0.0207936507936508</v>
      </c>
      <c r="G258" s="0" t="n">
        <f aca="false">$B258/G$1</f>
        <v>0.0161728395061728</v>
      </c>
      <c r="H258" s="0" t="n">
        <f aca="false">$B258/H$1</f>
        <v>0.0132323232323232</v>
      </c>
      <c r="I258" s="0" t="n">
        <f aca="false">$B258/I$1</f>
        <v>0.0111965811965812</v>
      </c>
      <c r="J258" s="0" t="n">
        <f aca="false">$B258/J$1</f>
        <v>0.0097037037037037</v>
      </c>
      <c r="K258" s="0" t="n">
        <f aca="false">$B258/K$1</f>
        <v>0.00856209150326797</v>
      </c>
      <c r="L258" s="0" t="n">
        <f aca="false">$B258/L$1</f>
        <v>0.00766081871345029</v>
      </c>
      <c r="M258" s="0" t="n">
        <f aca="false">$B258/M$1</f>
        <v>0.00693121693121693</v>
      </c>
      <c r="N258" s="0" t="n">
        <f aca="false">$B258/N$1</f>
        <v>0.00632850241545894</v>
      </c>
      <c r="O258" s="0" t="n">
        <f aca="false">$B258/O$1</f>
        <v>0.00582222222222222</v>
      </c>
      <c r="P258" s="0" t="n">
        <f aca="false">$B258/P$1</f>
        <v>0.00539094650205761</v>
      </c>
      <c r="Q258" s="0" t="n">
        <f aca="false">$B258/Q$1</f>
        <v>0.00501915708812261</v>
      </c>
      <c r="R258" s="0" t="n">
        <f aca="false">$B258/R$1</f>
        <v>0.00469534050179212</v>
      </c>
      <c r="S258" s="0" t="n">
        <f aca="false">$B258/S$1</f>
        <v>0.00441077441077441</v>
      </c>
      <c r="T258" s="0" t="n">
        <f aca="false">$B258/T$1</f>
        <v>0.00415873015873016</v>
      </c>
      <c r="U258" s="0" t="n">
        <f aca="false">$B258/U$1</f>
        <v>0.00393393393393393</v>
      </c>
      <c r="V258" s="0" t="n">
        <f aca="false">$B258/V$1</f>
        <v>0.00373219373219373</v>
      </c>
      <c r="W258" s="0" t="n">
        <f aca="false">$B258/W$1</f>
        <v>0.00355013550135501</v>
      </c>
      <c r="X258" s="0" t="n">
        <f aca="false">$B258/X$1</f>
        <v>0.00338501291989664</v>
      </c>
      <c r="Y258" s="0" t="n">
        <f aca="false">$B258/Y$1</f>
        <v>0.00323456790123457</v>
      </c>
      <c r="Z258" s="0" t="n">
        <f aca="false">$B258/Z$1</f>
        <v>0.00309692671394799</v>
      </c>
      <c r="AA258" s="0" t="n">
        <f aca="false">$B258/AA$1</f>
        <v>0.00297052154195011</v>
      </c>
      <c r="AB258" s="0" t="n">
        <f aca="false">$B258/AB$1</f>
        <v>0.00285403050108932</v>
      </c>
      <c r="AC258" s="0" t="n">
        <f aca="false">$B258/AC$1</f>
        <v>0.00274633123689727</v>
      </c>
      <c r="AD258" s="0" t="n">
        <f aca="false">$B258/AD$1</f>
        <v>0.00264646464646465</v>
      </c>
      <c r="AE258" s="0" t="n">
        <f aca="false">$B258/AE$1</f>
        <v>0.00255360623781676</v>
      </c>
      <c r="AF258" s="0" t="n">
        <f aca="false">$B258/AF$1</f>
        <v>0.00246704331450094</v>
      </c>
      <c r="AG258" s="0" t="n">
        <f aca="false">$B258/AG$1</f>
        <v>0.00238615664845173</v>
      </c>
      <c r="AH258" s="0" t="n">
        <f aca="false">$B258/AH$1</f>
        <v>0.00231040564373898</v>
      </c>
      <c r="AI258" s="0" t="n">
        <f aca="false">$B258/AI$1</f>
        <v>0.00223931623931624</v>
      </c>
      <c r="AJ258" s="0" t="n">
        <f aca="false">$B258/AJ$1</f>
        <v>0.00217247097844113</v>
      </c>
      <c r="AK258" s="0" t="n">
        <f aca="false">$B258/AK$1</f>
        <v>0.00210950080515298</v>
      </c>
      <c r="AL258" s="0" t="n">
        <f aca="false">$B258/AL$1</f>
        <v>0.00205007824726135</v>
      </c>
      <c r="AM258" s="0" t="n">
        <f aca="false">$B258/AM$1</f>
        <v>0.00199391171993912</v>
      </c>
      <c r="AN258" s="0" t="n">
        <f aca="false">$B258/AN$1</f>
        <v>0.00194074074074074</v>
      </c>
      <c r="AO258" s="0" t="n">
        <f aca="false">$B258/AO$1</f>
        <v>0.00189033189033189</v>
      </c>
      <c r="AP258" s="0" t="n">
        <f aca="false">$B258/AP$1</f>
        <v>0.00184247538677918</v>
      </c>
      <c r="AQ258" s="0" t="n">
        <f aca="false">$B258/AQ$1</f>
        <v>0.00179698216735254</v>
      </c>
      <c r="AR258" s="0" t="n">
        <f aca="false">$B258/AR$1</f>
        <v>0.00175368139223561</v>
      </c>
      <c r="AS258" s="0" t="n">
        <f aca="false">$B258/AS$1</f>
        <v>0.00171241830065359</v>
      </c>
      <c r="AT258" s="0" t="n">
        <f aca="false">$B258/AT$1</f>
        <v>0.00167305236270754</v>
      </c>
      <c r="AU258" s="0" t="n">
        <f aca="false">$B258/AU$1</f>
        <v>0.0016354556803995</v>
      </c>
      <c r="AV258" s="0" t="n">
        <f aca="false">$B258/AV$1</f>
        <v>0.0015995115995116</v>
      </c>
      <c r="AW258" s="0" t="n">
        <f aca="false">$B258/AW$1</f>
        <v>0.00156511350059737</v>
      </c>
      <c r="AX258" s="0" t="n">
        <f aca="false">$B258/AX$1</f>
        <v>0.00153216374269006</v>
      </c>
      <c r="AY258" s="0" t="n">
        <f aca="false">$B258/AY$1</f>
        <v>0.00150057273768614</v>
      </c>
      <c r="AZ258" s="0" t="n">
        <f aca="false">$B258/AZ$1</f>
        <v>0.0014702581369248</v>
      </c>
      <c r="BA258" s="0" t="n">
        <f aca="false">$B258/BA$1</f>
        <v>0.00144114411441144</v>
      </c>
      <c r="BB258" s="0" t="n">
        <f aca="false">$B258/BB$1</f>
        <v>0.00141316073354908</v>
      </c>
      <c r="BC258" s="0" t="n">
        <f aca="false">$B258/BC$1</f>
        <v>0.00138624338624339</v>
      </c>
      <c r="BD258" s="0" t="n">
        <f aca="false">$B258/BD$1</f>
        <v>0.00136033229491173</v>
      </c>
      <c r="BE258" s="0" t="n">
        <f aca="false">$B258/BE$1</f>
        <v>0.00133537206931702</v>
      </c>
      <c r="BF258" s="0" t="n">
        <f aca="false">$B258/BF$1</f>
        <v>0.00131131131131131</v>
      </c>
      <c r="BG258" s="0" t="n">
        <f aca="false">$B258/BG$1</f>
        <v>0.00128810226155359</v>
      </c>
      <c r="BH258" s="0" t="n">
        <f aca="false">$B258/BH$1</f>
        <v>0.00126570048309179</v>
      </c>
      <c r="BI258" s="0" t="n">
        <f aca="false">$B258/BI$1</f>
        <v>0.00124406457739791</v>
      </c>
      <c r="BJ258" s="0" t="n">
        <f aca="false">$B258/BJ$1</f>
        <v>0.00122315592903828</v>
      </c>
      <c r="BL258" s="0" t="n">
        <f aca="false">IF($B$255=1,COUNTIF(C258:BJ258,"&gt;="&amp;$C$255),0)</f>
        <v>18</v>
      </c>
      <c r="BM258" s="0" t="n">
        <f aca="false">IF($B$255=1,IF(OR(BS258&gt;=Settings!$B$5,Settings!$C$16&gt;0),MAX(BL258,Settings!$C$16),0),0)</f>
        <v>18</v>
      </c>
      <c r="BN258" s="0" t="n">
        <f aca="false">IF($B$255=1,IF(OR(BS258&gt;=Settings!$B$5,Settings!$C$16&gt;0),MAX(0,(2*MAX(BL258,Settings!$C$16)+1)*$C$255-BS258),MAX(0,Settings!$B$5-BS258)),"")</f>
        <v>0.00737777777777779</v>
      </c>
      <c r="BO258" s="0" t="n">
        <f aca="false">IF($B$255=1,IF(OR(BS258&gt;=Settings!$B$5,Settings!$C$16&gt;0),IF(BL258&lt;=Settings!$C$16,"Protected by electorates",IF(Settings!$C$16=0,MIN(BS258-(2*BL258-1)*$D$255,BS258-Settings!$B$5),BS258-(2*BL258-1)*$D$255)),""),"")</f>
        <v>0.0010466988727858</v>
      </c>
      <c r="BP258" s="0" t="n">
        <f aca="false">IF($B$255=1,IF(OR(BS258&gt;=Settings!$B$5,Settings!$C$16&gt;0),MAX(0,MIN(1,(BS258/$C$255-(2*MAX(BL258,Settings!$C$16)-1))/2)),MIN(1,BS258/Settings!$B$5)),"")</f>
        <v>0.107526881720428</v>
      </c>
      <c r="BQ258" s="0" t="n">
        <f aca="false">IF(AND($B$255=1,COUNTIF(C258:BJ258,$C$255)&gt;0),1,0)</f>
        <v>0</v>
      </c>
      <c r="BR258" s="0" t="n">
        <f aca="false">IF(AND($B$255=1,COUNTIF(C258:BJ258,$D$255)&gt;0),1,0)</f>
        <v>0</v>
      </c>
      <c r="BS258" s="0" t="n">
        <f aca="false">N(IF(Polls!J34="",Polls!J37,Polls!J34))</f>
        <v>0.145555555555556</v>
      </c>
      <c r="BT258" s="0" t="str">
        <f aca="false">IF(OR(BS258&gt;=Settings!$B$5,Settings!$C$16&gt;0),"Next seat","Threshold")</f>
        <v>Next seat</v>
      </c>
    </row>
    <row r="259" customFormat="false" ht="15" hidden="false" customHeight="false" outlineLevel="0" collapsed="false">
      <c r="A259" s="0" t="s">
        <v>46</v>
      </c>
      <c r="B259" s="0" t="n">
        <f aca="false">IF(OR(BS259&gt;=Settings!$B$5,Settings!$C$17&gt;0),BS259,0)</f>
        <v>0.0963333333333333</v>
      </c>
      <c r="C259" s="0" t="n">
        <f aca="false">$B259/C$1</f>
        <v>0.0963333333333333</v>
      </c>
      <c r="D259" s="0" t="n">
        <f aca="false">$B259/D$1</f>
        <v>0.0321111111111111</v>
      </c>
      <c r="E259" s="0" t="n">
        <f aca="false">$B259/E$1</f>
        <v>0.0192666666666667</v>
      </c>
      <c r="F259" s="0" t="n">
        <f aca="false">$B259/F$1</f>
        <v>0.0137619047619048</v>
      </c>
      <c r="G259" s="0" t="n">
        <f aca="false">$B259/G$1</f>
        <v>0.0107037037037037</v>
      </c>
      <c r="H259" s="0" t="n">
        <f aca="false">$B259/H$1</f>
        <v>0.00875757575757576</v>
      </c>
      <c r="I259" s="0" t="n">
        <f aca="false">$B259/I$1</f>
        <v>0.00741025641025641</v>
      </c>
      <c r="J259" s="0" t="n">
        <f aca="false">$B259/J$1</f>
        <v>0.00642222222222222</v>
      </c>
      <c r="K259" s="0" t="n">
        <f aca="false">$B259/K$1</f>
        <v>0.00566666666666667</v>
      </c>
      <c r="L259" s="0" t="n">
        <f aca="false">$B259/L$1</f>
        <v>0.00507017543859649</v>
      </c>
      <c r="M259" s="0" t="n">
        <f aca="false">$B259/M$1</f>
        <v>0.00458730158730159</v>
      </c>
      <c r="N259" s="0" t="n">
        <f aca="false">$B259/N$1</f>
        <v>0.00418840579710145</v>
      </c>
      <c r="O259" s="0" t="n">
        <f aca="false">$B259/O$1</f>
        <v>0.00385333333333333</v>
      </c>
      <c r="P259" s="0" t="n">
        <f aca="false">$B259/P$1</f>
        <v>0.0035679012345679</v>
      </c>
      <c r="Q259" s="0" t="n">
        <f aca="false">$B259/Q$1</f>
        <v>0.00332183908045977</v>
      </c>
      <c r="R259" s="0" t="n">
        <f aca="false">$B259/R$1</f>
        <v>0.00310752688172043</v>
      </c>
      <c r="S259" s="0" t="n">
        <f aca="false">$B259/S$1</f>
        <v>0.00291919191919192</v>
      </c>
      <c r="T259" s="0" t="n">
        <f aca="false">$B259/T$1</f>
        <v>0.00275238095238095</v>
      </c>
      <c r="U259" s="0" t="n">
        <f aca="false">$B259/U$1</f>
        <v>0.0026036036036036</v>
      </c>
      <c r="V259" s="0" t="n">
        <f aca="false">$B259/V$1</f>
        <v>0.00247008547008547</v>
      </c>
      <c r="W259" s="0" t="n">
        <f aca="false">$B259/W$1</f>
        <v>0.00234959349593496</v>
      </c>
      <c r="X259" s="0" t="n">
        <f aca="false">$B259/X$1</f>
        <v>0.00224031007751938</v>
      </c>
      <c r="Y259" s="0" t="n">
        <f aca="false">$B259/Y$1</f>
        <v>0.00214074074074074</v>
      </c>
      <c r="Z259" s="0" t="n">
        <f aca="false">$B259/Z$1</f>
        <v>0.00204964539007092</v>
      </c>
      <c r="AA259" s="0" t="n">
        <f aca="false">$B259/AA$1</f>
        <v>0.00196598639455782</v>
      </c>
      <c r="AB259" s="0" t="n">
        <f aca="false">$B259/AB$1</f>
        <v>0.00188888888888889</v>
      </c>
      <c r="AC259" s="0" t="n">
        <f aca="false">$B259/AC$1</f>
        <v>0.00181761006289308</v>
      </c>
      <c r="AD259" s="0" t="n">
        <f aca="false">$B259/AD$1</f>
        <v>0.00175151515151515</v>
      </c>
      <c r="AE259" s="0" t="n">
        <f aca="false">$B259/AE$1</f>
        <v>0.00169005847953216</v>
      </c>
      <c r="AF259" s="0" t="n">
        <f aca="false">$B259/AF$1</f>
        <v>0.00163276836158192</v>
      </c>
      <c r="AG259" s="0" t="n">
        <f aca="false">$B259/AG$1</f>
        <v>0.0015792349726776</v>
      </c>
      <c r="AH259" s="0" t="n">
        <f aca="false">$B259/AH$1</f>
        <v>0.00152910052910053</v>
      </c>
      <c r="AI259" s="0" t="n">
        <f aca="false">$B259/AI$1</f>
        <v>0.00148205128205128</v>
      </c>
      <c r="AJ259" s="0" t="n">
        <f aca="false">$B259/AJ$1</f>
        <v>0.00143781094527363</v>
      </c>
      <c r="AK259" s="0" t="n">
        <f aca="false">$B259/AK$1</f>
        <v>0.00139613526570048</v>
      </c>
      <c r="AL259" s="0" t="n">
        <f aca="false">$B259/AL$1</f>
        <v>0.00135680751173709</v>
      </c>
      <c r="AM259" s="0" t="n">
        <f aca="false">$B259/AM$1</f>
        <v>0.00131963470319635</v>
      </c>
      <c r="AN259" s="0" t="n">
        <f aca="false">$B259/AN$1</f>
        <v>0.00128444444444444</v>
      </c>
      <c r="AO259" s="0" t="n">
        <f aca="false">$B259/AO$1</f>
        <v>0.00125108225108225</v>
      </c>
      <c r="AP259" s="0" t="n">
        <f aca="false">$B259/AP$1</f>
        <v>0.00121940928270042</v>
      </c>
      <c r="AQ259" s="0" t="n">
        <f aca="false">$B259/AQ$1</f>
        <v>0.00118930041152263</v>
      </c>
      <c r="AR259" s="0" t="n">
        <f aca="false">$B259/AR$1</f>
        <v>0.00116064257028112</v>
      </c>
      <c r="AS259" s="0" t="n">
        <f aca="false">$B259/AS$1</f>
        <v>0.00113333333333333</v>
      </c>
      <c r="AT259" s="0" t="n">
        <f aca="false">$B259/AT$1</f>
        <v>0.00110727969348659</v>
      </c>
      <c r="AU259" s="0" t="n">
        <f aca="false">$B259/AU$1</f>
        <v>0.00108239700374532</v>
      </c>
      <c r="AV259" s="0" t="n">
        <f aca="false">$B259/AV$1</f>
        <v>0.00105860805860806</v>
      </c>
      <c r="AW259" s="0" t="n">
        <f aca="false">$B259/AW$1</f>
        <v>0.00103584229390681</v>
      </c>
      <c r="AX259" s="0" t="n">
        <f aca="false">$B259/AX$1</f>
        <v>0.0010140350877193</v>
      </c>
      <c r="AY259" s="0" t="n">
        <f aca="false">$B259/AY$1</f>
        <v>0.000993127147766323</v>
      </c>
      <c r="AZ259" s="0" t="n">
        <f aca="false">$B259/AZ$1</f>
        <v>0.000973063973063973</v>
      </c>
      <c r="BA259" s="0" t="n">
        <f aca="false">$B259/BA$1</f>
        <v>0.000953795379537954</v>
      </c>
      <c r="BB259" s="0" t="n">
        <f aca="false">$B259/BB$1</f>
        <v>0.000935275080906149</v>
      </c>
      <c r="BC259" s="0" t="n">
        <f aca="false">$B259/BC$1</f>
        <v>0.000917460317460317</v>
      </c>
      <c r="BD259" s="0" t="n">
        <f aca="false">$B259/BD$1</f>
        <v>0.000900311526479751</v>
      </c>
      <c r="BE259" s="0" t="n">
        <f aca="false">$B259/BE$1</f>
        <v>0.000883792048929664</v>
      </c>
      <c r="BF259" s="0" t="n">
        <f aca="false">$B259/BF$1</f>
        <v>0.000867867867867868</v>
      </c>
      <c r="BG259" s="0" t="n">
        <f aca="false">$B259/BG$1</f>
        <v>0.000852507374631268</v>
      </c>
      <c r="BH259" s="0" t="n">
        <f aca="false">$B259/BH$1</f>
        <v>0.00083768115942029</v>
      </c>
      <c r="BI259" s="0" t="n">
        <f aca="false">$B259/BI$1</f>
        <v>0.000823361823361823</v>
      </c>
      <c r="BJ259" s="0" t="n">
        <f aca="false">$B259/BJ$1</f>
        <v>0.00080952380952381</v>
      </c>
      <c r="BL259" s="0" t="n">
        <f aca="false">IF($B$255=1,COUNTIF(C259:BJ259,"&gt;="&amp;$C$255),0)</f>
        <v>12</v>
      </c>
      <c r="BM259" s="0" t="n">
        <f aca="false">IF($B$255=1,IF(OR(BS259&gt;=Settings!$B$5,Settings!$C$17&gt;0),MAX(BL259,Settings!$C$17),0),0)</f>
        <v>12</v>
      </c>
      <c r="BN259" s="0" t="n">
        <f aca="false">IF($B$255=1,IF(OR(BS259&gt;=Settings!$B$5,Settings!$C$17&gt;0),MAX(0,(2*MAX(BL259,Settings!$C$17)+1)*$C$255-BS259),MAX(0,Settings!$B$5-BS259)),"")</f>
        <v>0.00700000000000001</v>
      </c>
      <c r="BO259" s="0" t="n">
        <f aca="false">IF($B$255=1,IF(OR(BS259&gt;=Settings!$B$5,Settings!$C$17&gt;0),IF(BL259&lt;=Settings!$C$17,"Protected by electorates",IF(Settings!$C$17=0,MIN(BS259-(2*BL259-1)*$D$255,BS259-Settings!$B$5),BS259-(2*BL259-1)*$D$255)),""),"")</f>
        <v>0.00137037037037036</v>
      </c>
      <c r="BP259" s="0" t="n">
        <f aca="false">IF($B$255=1,IF(OR(BS259&gt;=Settings!$B$5,Settings!$C$17&gt;0),MAX(0,MIN(1,(BS259/$C$255-(2*MAX(BL259,Settings!$C$17)-1))/2)),MIN(1,BS259/Settings!$B$5)),"")</f>
        <v>0.153225806451612</v>
      </c>
      <c r="BQ259" s="0" t="n">
        <f aca="false">IF(AND($B$255=1,COUNTIF(C259:BJ259,$C$255)&gt;0),1,0)</f>
        <v>0</v>
      </c>
      <c r="BR259" s="0" t="n">
        <f aca="false">IF(AND($B$255=1,COUNTIF(C259:BJ259,$D$255)&gt;0),1,0)</f>
        <v>0</v>
      </c>
      <c r="BS259" s="0" t="n">
        <f aca="false">N(IF(Polls!K34="",Polls!K37,Polls!K34))</f>
        <v>0.0963333333333333</v>
      </c>
      <c r="BT259" s="0" t="str">
        <f aca="false">IF(OR(BS259&gt;=Settings!$B$5,Settings!$C$17&gt;0),"Next seat","Threshold")</f>
        <v>Next seat</v>
      </c>
    </row>
    <row r="260" customFormat="false" ht="15" hidden="false" customHeight="false" outlineLevel="0" collapsed="false">
      <c r="A260" s="0" t="s">
        <v>48</v>
      </c>
      <c r="B260" s="0" t="n">
        <f aca="false">IF(OR(BS260&gt;=Settings!$B$5,Settings!$C$18&gt;0),BS260,0)</f>
        <v>0.103333333333333</v>
      </c>
      <c r="C260" s="0" t="n">
        <f aca="false">$B260/C$1</f>
        <v>0.103333333333333</v>
      </c>
      <c r="D260" s="0" t="n">
        <f aca="false">$B260/D$1</f>
        <v>0.0344444444444444</v>
      </c>
      <c r="E260" s="0" t="n">
        <f aca="false">$B260/E$1</f>
        <v>0.0206666666666667</v>
      </c>
      <c r="F260" s="0" t="n">
        <f aca="false">$B260/F$1</f>
        <v>0.0147619047619048</v>
      </c>
      <c r="G260" s="0" t="n">
        <f aca="false">$B260/G$1</f>
        <v>0.0114814814814815</v>
      </c>
      <c r="H260" s="0" t="n">
        <f aca="false">$B260/H$1</f>
        <v>0.00939393939393939</v>
      </c>
      <c r="I260" s="0" t="n">
        <f aca="false">$B260/I$1</f>
        <v>0.00794871794871795</v>
      </c>
      <c r="J260" s="0" t="n">
        <f aca="false">$B260/J$1</f>
        <v>0.00688888888888889</v>
      </c>
      <c r="K260" s="0" t="n">
        <f aca="false">$B260/K$1</f>
        <v>0.00607843137254902</v>
      </c>
      <c r="L260" s="0" t="n">
        <f aca="false">$B260/L$1</f>
        <v>0.00543859649122807</v>
      </c>
      <c r="M260" s="0" t="n">
        <f aca="false">$B260/M$1</f>
        <v>0.00492063492063492</v>
      </c>
      <c r="N260" s="0" t="n">
        <f aca="false">$B260/N$1</f>
        <v>0.00449275362318841</v>
      </c>
      <c r="O260" s="0" t="n">
        <f aca="false">$B260/O$1</f>
        <v>0.00413333333333333</v>
      </c>
      <c r="P260" s="0" t="n">
        <f aca="false">$B260/P$1</f>
        <v>0.00382716049382716</v>
      </c>
      <c r="Q260" s="0" t="n">
        <f aca="false">$B260/Q$1</f>
        <v>0.0035632183908046</v>
      </c>
      <c r="R260" s="0" t="n">
        <f aca="false">$B260/R$1</f>
        <v>0.00333333333333333</v>
      </c>
      <c r="S260" s="0" t="n">
        <f aca="false">$B260/S$1</f>
        <v>0.00313131313131313</v>
      </c>
      <c r="T260" s="0" t="n">
        <f aca="false">$B260/T$1</f>
        <v>0.00295238095238095</v>
      </c>
      <c r="U260" s="0" t="n">
        <f aca="false">$B260/U$1</f>
        <v>0.00279279279279279</v>
      </c>
      <c r="V260" s="0" t="n">
        <f aca="false">$B260/V$1</f>
        <v>0.00264957264957265</v>
      </c>
      <c r="W260" s="0" t="n">
        <f aca="false">$B260/W$1</f>
        <v>0.00252032520325203</v>
      </c>
      <c r="X260" s="0" t="n">
        <f aca="false">$B260/X$1</f>
        <v>0.0024031007751938</v>
      </c>
      <c r="Y260" s="0" t="n">
        <f aca="false">$B260/Y$1</f>
        <v>0.0022962962962963</v>
      </c>
      <c r="Z260" s="0" t="n">
        <f aca="false">$B260/Z$1</f>
        <v>0.00219858156028369</v>
      </c>
      <c r="AA260" s="0" t="n">
        <f aca="false">$B260/AA$1</f>
        <v>0.00210884353741497</v>
      </c>
      <c r="AB260" s="0" t="n">
        <f aca="false">$B260/AB$1</f>
        <v>0.00202614379084967</v>
      </c>
      <c r="AC260" s="0" t="n">
        <f aca="false">$B260/AC$1</f>
        <v>0.0019496855345912</v>
      </c>
      <c r="AD260" s="0" t="n">
        <f aca="false">$B260/AD$1</f>
        <v>0.00187878787878788</v>
      </c>
      <c r="AE260" s="0" t="n">
        <f aca="false">$B260/AE$1</f>
        <v>0.00181286549707602</v>
      </c>
      <c r="AF260" s="0" t="n">
        <f aca="false">$B260/AF$1</f>
        <v>0.00175141242937853</v>
      </c>
      <c r="AG260" s="0" t="n">
        <f aca="false">$B260/AG$1</f>
        <v>0.00169398907103825</v>
      </c>
      <c r="AH260" s="0" t="n">
        <f aca="false">$B260/AH$1</f>
        <v>0.00164021164021164</v>
      </c>
      <c r="AI260" s="0" t="n">
        <f aca="false">$B260/AI$1</f>
        <v>0.00158974358974359</v>
      </c>
      <c r="AJ260" s="0" t="n">
        <f aca="false">$B260/AJ$1</f>
        <v>0.00154228855721393</v>
      </c>
      <c r="AK260" s="0" t="n">
        <f aca="false">$B260/AK$1</f>
        <v>0.0014975845410628</v>
      </c>
      <c r="AL260" s="0" t="n">
        <f aca="false">$B260/AL$1</f>
        <v>0.00145539906103286</v>
      </c>
      <c r="AM260" s="0" t="n">
        <f aca="false">$B260/AM$1</f>
        <v>0.00141552511415525</v>
      </c>
      <c r="AN260" s="0" t="n">
        <f aca="false">$B260/AN$1</f>
        <v>0.00137777777777778</v>
      </c>
      <c r="AO260" s="0" t="n">
        <f aca="false">$B260/AO$1</f>
        <v>0.00134199134199134</v>
      </c>
      <c r="AP260" s="0" t="n">
        <f aca="false">$B260/AP$1</f>
        <v>0.00130801687763713</v>
      </c>
      <c r="AQ260" s="0" t="n">
        <f aca="false">$B260/AQ$1</f>
        <v>0.00127572016460905</v>
      </c>
      <c r="AR260" s="0" t="n">
        <f aca="false">$B260/AR$1</f>
        <v>0.00124497991967872</v>
      </c>
      <c r="AS260" s="0" t="n">
        <f aca="false">$B260/AS$1</f>
        <v>0.0012156862745098</v>
      </c>
      <c r="AT260" s="0" t="n">
        <f aca="false">$B260/AT$1</f>
        <v>0.00118773946360153</v>
      </c>
      <c r="AU260" s="0" t="n">
        <f aca="false">$B260/AU$1</f>
        <v>0.00116104868913858</v>
      </c>
      <c r="AV260" s="0" t="n">
        <f aca="false">$B260/AV$1</f>
        <v>0.00113553113553114</v>
      </c>
      <c r="AW260" s="0" t="n">
        <f aca="false">$B260/AW$1</f>
        <v>0.00111111111111111</v>
      </c>
      <c r="AX260" s="0" t="n">
        <f aca="false">$B260/AX$1</f>
        <v>0.00108771929824561</v>
      </c>
      <c r="AY260" s="0" t="n">
        <f aca="false">$B260/AY$1</f>
        <v>0.00106529209621993</v>
      </c>
      <c r="AZ260" s="0" t="n">
        <f aca="false">$B260/AZ$1</f>
        <v>0.00104377104377104</v>
      </c>
      <c r="BA260" s="0" t="n">
        <f aca="false">$B260/BA$1</f>
        <v>0.00102310231023102</v>
      </c>
      <c r="BB260" s="0" t="n">
        <f aca="false">$B260/BB$1</f>
        <v>0.00100323624595469</v>
      </c>
      <c r="BC260" s="0" t="n">
        <f aca="false">$B260/BC$1</f>
        <v>0.000984126984126984</v>
      </c>
      <c r="BD260" s="0" t="n">
        <f aca="false">$B260/BD$1</f>
        <v>0.000965732087227414</v>
      </c>
      <c r="BE260" s="0" t="n">
        <f aca="false">$B260/BE$1</f>
        <v>0.000948012232415902</v>
      </c>
      <c r="BF260" s="0" t="n">
        <f aca="false">$B260/BF$1</f>
        <v>0.000930930930930931</v>
      </c>
      <c r="BG260" s="0" t="n">
        <f aca="false">$B260/BG$1</f>
        <v>0.000914454277286136</v>
      </c>
      <c r="BH260" s="0" t="n">
        <f aca="false">$B260/BH$1</f>
        <v>0.000898550724637681</v>
      </c>
      <c r="BI260" s="0" t="n">
        <f aca="false">$B260/BI$1</f>
        <v>0.000883190883190883</v>
      </c>
      <c r="BJ260" s="0" t="n">
        <f aca="false">$B260/BJ$1</f>
        <v>0.000868347338935574</v>
      </c>
      <c r="BL260" s="0" t="n">
        <f aca="false">IF($B$255=1,COUNTIF(C260:BJ260,"&gt;="&amp;$C$255),0)</f>
        <v>13</v>
      </c>
      <c r="BM260" s="0" t="n">
        <f aca="false">IF($B$255=1,IF(OR(BS260&gt;=Settings!$B$5,Settings!$C$18&gt;0),MAX(BL260,Settings!$C$18),0),0)</f>
        <v>13</v>
      </c>
      <c r="BN260" s="0" t="n">
        <f aca="false">IF($B$255=1,IF(OR(BS260&gt;=Settings!$B$5,Settings!$C$18&gt;0),MAX(0,(2*MAX(BL260,Settings!$C$18)+1)*$C$255-BS260),MAX(0,Settings!$B$5-BS260)),"")</f>
        <v>0.00826666666666667</v>
      </c>
      <c r="BO260" s="0" t="n">
        <f aca="false">IF($B$255=1,IF(OR(BS260&gt;=Settings!$B$5,Settings!$C$18&gt;0),IF(BL260&lt;=Settings!$C$18,"Protected by electorates",IF(Settings!$C$18=0,MIN(BS260-(2*BL260-1)*$D$255,BS260-Settings!$B$5),BS260-(2*BL260-1)*$D$255)),""),"")</f>
        <v>0.000112721417069223</v>
      </c>
      <c r="BP260" s="0" t="n">
        <f aca="false">IF($B$255=1,IF(OR(BS260&gt;=Settings!$B$5,Settings!$C$18&gt;0),MAX(0,MIN(1,(BS260/$C$255-(2*MAX(BL260,Settings!$C$18)-1))/2)),MIN(1,BS260/Settings!$B$5)),"")</f>
        <v>0</v>
      </c>
      <c r="BQ260" s="0" t="n">
        <f aca="false">IF(AND($B$255=1,COUNTIF(C260:BJ260,$C$255)&gt;0),1,0)</f>
        <v>1</v>
      </c>
      <c r="BR260" s="0" t="n">
        <f aca="false">IF(AND($B$255=1,COUNTIF(C260:BJ260,$D$255)&gt;0),1,0)</f>
        <v>0</v>
      </c>
      <c r="BS260" s="0" t="n">
        <f aca="false">N(IF(Polls!L34="",Polls!L37,Polls!L34))</f>
        <v>0.103333333333333</v>
      </c>
      <c r="BT260" s="0" t="str">
        <f aca="false">IF(OR(BS260&gt;=Settings!$B$5,Settings!$C$18&gt;0),"Next seat","Threshold")</f>
        <v>Next seat</v>
      </c>
    </row>
    <row r="261" customFormat="false" ht="15" hidden="false" customHeight="false" outlineLevel="0" collapsed="false">
      <c r="A261" s="0" t="s">
        <v>50</v>
      </c>
      <c r="B261" s="0" t="n">
        <f aca="false">IF(OR(BS261&gt;=Settings!$B$5,Settings!$C$19&gt;0),BS261,0)</f>
        <v>0.0145</v>
      </c>
      <c r="C261" s="0" t="n">
        <f aca="false">$B261/C$1</f>
        <v>0.0145</v>
      </c>
      <c r="D261" s="0" t="n">
        <f aca="false">$B261/D$1</f>
        <v>0.00483333333333333</v>
      </c>
      <c r="E261" s="0" t="n">
        <f aca="false">$B261/E$1</f>
        <v>0.0029</v>
      </c>
      <c r="F261" s="0" t="n">
        <f aca="false">$B261/F$1</f>
        <v>0.00207142857142857</v>
      </c>
      <c r="G261" s="0" t="n">
        <f aca="false">$B261/G$1</f>
        <v>0.00161111111111111</v>
      </c>
      <c r="H261" s="0" t="n">
        <f aca="false">$B261/H$1</f>
        <v>0.00131818181818182</v>
      </c>
      <c r="I261" s="0" t="n">
        <f aca="false">$B261/I$1</f>
        <v>0.00111538461538462</v>
      </c>
      <c r="J261" s="0" t="n">
        <f aca="false">$B261/J$1</f>
        <v>0.000966666666666667</v>
      </c>
      <c r="K261" s="0" t="n">
        <f aca="false">$B261/K$1</f>
        <v>0.000852941176470588</v>
      </c>
      <c r="L261" s="0" t="n">
        <f aca="false">$B261/L$1</f>
        <v>0.000763157894736842</v>
      </c>
      <c r="M261" s="0" t="n">
        <f aca="false">$B261/M$1</f>
        <v>0.000690476190476191</v>
      </c>
      <c r="N261" s="0" t="n">
        <f aca="false">$B261/N$1</f>
        <v>0.000630434782608696</v>
      </c>
      <c r="O261" s="0" t="n">
        <f aca="false">$B261/O$1</f>
        <v>0.00058</v>
      </c>
      <c r="P261" s="0" t="n">
        <f aca="false">$B261/P$1</f>
        <v>0.000537037037037037</v>
      </c>
      <c r="Q261" s="0" t="n">
        <f aca="false">$B261/Q$1</f>
        <v>0.0005</v>
      </c>
      <c r="R261" s="0" t="n">
        <f aca="false">$B261/R$1</f>
        <v>0.000467741935483871</v>
      </c>
      <c r="S261" s="0" t="n">
        <f aca="false">$B261/S$1</f>
        <v>0.000439393939393939</v>
      </c>
      <c r="T261" s="0" t="n">
        <f aca="false">$B261/T$1</f>
        <v>0.000414285714285714</v>
      </c>
      <c r="U261" s="0" t="n">
        <f aca="false">$B261/U$1</f>
        <v>0.000391891891891892</v>
      </c>
      <c r="V261" s="0" t="n">
        <f aca="false">$B261/V$1</f>
        <v>0.000371794871794872</v>
      </c>
      <c r="W261" s="0" t="n">
        <f aca="false">$B261/W$1</f>
        <v>0.000353658536585366</v>
      </c>
      <c r="X261" s="0" t="n">
        <f aca="false">$B261/X$1</f>
        <v>0.000337209302325581</v>
      </c>
      <c r="Y261" s="0" t="n">
        <f aca="false">$B261/Y$1</f>
        <v>0.000322222222222222</v>
      </c>
      <c r="Z261" s="0" t="n">
        <f aca="false">$B261/Z$1</f>
        <v>0.000308510638297872</v>
      </c>
      <c r="AA261" s="0" t="n">
        <f aca="false">$B261/AA$1</f>
        <v>0.000295918367346939</v>
      </c>
      <c r="AB261" s="0" t="n">
        <f aca="false">$B261/AB$1</f>
        <v>0.000284313725490196</v>
      </c>
      <c r="AC261" s="0" t="n">
        <f aca="false">$B261/AC$1</f>
        <v>0.000273584905660377</v>
      </c>
      <c r="AD261" s="0" t="n">
        <f aca="false">$B261/AD$1</f>
        <v>0.000263636363636364</v>
      </c>
      <c r="AE261" s="0" t="n">
        <f aca="false">$B261/AE$1</f>
        <v>0.000254385964912281</v>
      </c>
      <c r="AF261" s="0" t="n">
        <f aca="false">$B261/AF$1</f>
        <v>0.000245762711864407</v>
      </c>
      <c r="AG261" s="0" t="n">
        <f aca="false">$B261/AG$1</f>
        <v>0.000237704918032787</v>
      </c>
      <c r="AH261" s="0" t="n">
        <f aca="false">$B261/AH$1</f>
        <v>0.00023015873015873</v>
      </c>
      <c r="AI261" s="0" t="n">
        <f aca="false">$B261/AI$1</f>
        <v>0.000223076923076923</v>
      </c>
      <c r="AJ261" s="0" t="n">
        <f aca="false">$B261/AJ$1</f>
        <v>0.000216417910447761</v>
      </c>
      <c r="AK261" s="0" t="n">
        <f aca="false">$B261/AK$1</f>
        <v>0.000210144927536232</v>
      </c>
      <c r="AL261" s="0" t="n">
        <f aca="false">$B261/AL$1</f>
        <v>0.000204225352112676</v>
      </c>
      <c r="AM261" s="0" t="n">
        <f aca="false">$B261/AM$1</f>
        <v>0.000198630136986301</v>
      </c>
      <c r="AN261" s="0" t="n">
        <f aca="false">$B261/AN$1</f>
        <v>0.000193333333333333</v>
      </c>
      <c r="AO261" s="0" t="n">
        <f aca="false">$B261/AO$1</f>
        <v>0.000188311688311688</v>
      </c>
      <c r="AP261" s="0" t="n">
        <f aca="false">$B261/AP$1</f>
        <v>0.000183544303797468</v>
      </c>
      <c r="AQ261" s="0" t="n">
        <f aca="false">$B261/AQ$1</f>
        <v>0.000179012345679012</v>
      </c>
      <c r="AR261" s="0" t="n">
        <f aca="false">$B261/AR$1</f>
        <v>0.000174698795180723</v>
      </c>
      <c r="AS261" s="0" t="n">
        <f aca="false">$B261/AS$1</f>
        <v>0.000170588235294118</v>
      </c>
      <c r="AT261" s="0" t="n">
        <f aca="false">$B261/AT$1</f>
        <v>0.000166666666666667</v>
      </c>
      <c r="AU261" s="0" t="n">
        <f aca="false">$B261/AU$1</f>
        <v>0.000162921348314607</v>
      </c>
      <c r="AV261" s="0" t="n">
        <f aca="false">$B261/AV$1</f>
        <v>0.000159340659340659</v>
      </c>
      <c r="AW261" s="0" t="n">
        <f aca="false">$B261/AW$1</f>
        <v>0.000155913978494624</v>
      </c>
      <c r="AX261" s="0" t="n">
        <f aca="false">$B261/AX$1</f>
        <v>0.000152631578947368</v>
      </c>
      <c r="AY261" s="0" t="n">
        <f aca="false">$B261/AY$1</f>
        <v>0.000149484536082474</v>
      </c>
      <c r="AZ261" s="0" t="n">
        <f aca="false">$B261/AZ$1</f>
        <v>0.000146464646464646</v>
      </c>
      <c r="BA261" s="0" t="n">
        <f aca="false">$B261/BA$1</f>
        <v>0.000143564356435644</v>
      </c>
      <c r="BB261" s="0" t="n">
        <f aca="false">$B261/BB$1</f>
        <v>0.000140776699029126</v>
      </c>
      <c r="BC261" s="0" t="n">
        <f aca="false">$B261/BC$1</f>
        <v>0.000138095238095238</v>
      </c>
      <c r="BD261" s="0" t="n">
        <f aca="false">$B261/BD$1</f>
        <v>0.000135514018691589</v>
      </c>
      <c r="BE261" s="0" t="n">
        <f aca="false">$B261/BE$1</f>
        <v>0.00013302752293578</v>
      </c>
      <c r="BF261" s="0" t="n">
        <f aca="false">$B261/BF$1</f>
        <v>0.000130630630630631</v>
      </c>
      <c r="BG261" s="0" t="n">
        <f aca="false">$B261/BG$1</f>
        <v>0.000128318584070796</v>
      </c>
      <c r="BH261" s="0" t="n">
        <f aca="false">$B261/BH$1</f>
        <v>0.000126086956521739</v>
      </c>
      <c r="BI261" s="0" t="n">
        <f aca="false">$B261/BI$1</f>
        <v>0.000123931623931624</v>
      </c>
      <c r="BJ261" s="0" t="n">
        <f aca="false">$B261/BJ$1</f>
        <v>0.000121848739495798</v>
      </c>
      <c r="BL261" s="0" t="n">
        <f aca="false">IF($B$255=1,COUNTIF(C261:BJ261,"&gt;="&amp;$C$255),0)</f>
        <v>2</v>
      </c>
      <c r="BM261" s="0" t="n">
        <f aca="false">IF($B$255=1,IF(OR(BS261&gt;=Settings!$B$5,Settings!$C$19&gt;0),MAX(BL261,Settings!$C$19),0),0)</f>
        <v>4</v>
      </c>
      <c r="BN261" s="0" t="n">
        <f aca="false">IF($B$255=1,IF(OR(BS261&gt;=Settings!$B$5,Settings!$C$19&gt;0),MAX(0,(2*MAX(BL261,Settings!$C$19)+1)*$C$255-BS261),MAX(0,Settings!$B$5-BS261)),"")</f>
        <v>0.0227</v>
      </c>
      <c r="BO261" s="0" t="str">
        <f aca="false">IF($B$255=1,IF(OR(BS261&gt;=Settings!$B$5,Settings!$C$19&gt;0),IF(BL261&lt;=Settings!$C$19,"Protected by electorates",IF(Settings!$C$19=0,MIN(BS261-(2*BL261-1)*$D$255,BS261-Settings!$B$5),BS261-(2*BL261-1)*$D$255)),""),"")</f>
        <v>Protected by electorates</v>
      </c>
      <c r="BP261" s="0" t="n">
        <f aca="false">IF($B$255=1,IF(OR(BS261&gt;=Settings!$B$5,Settings!$C$19&gt;0),MAX(0,MIN(1,(BS261/$C$255-(2*MAX(BL261,Settings!$C$19)-1))/2)),MIN(1,BS261/Settings!$B$5)),"")</f>
        <v>0</v>
      </c>
      <c r="BQ261" s="0" t="n">
        <f aca="false">IF(AND($B$255=1,COUNTIF(C261:BJ261,$C$255)&gt;0),1,0)</f>
        <v>0</v>
      </c>
      <c r="BR261" s="0" t="n">
        <f aca="false">IF(AND($B$255=1,COUNTIF(C261:BJ261,$D$255)&gt;0),1,0)</f>
        <v>0</v>
      </c>
      <c r="BS261" s="0" t="n">
        <f aca="false">N(IF(Polls!M34="",Polls!M37,Polls!M34))</f>
        <v>0.0145</v>
      </c>
      <c r="BT261" s="0" t="str">
        <f aca="false">IF(OR(BS261&gt;=Settings!$B$5,Settings!$C$19&gt;0),"Next seat","Threshold")</f>
        <v>Next seat</v>
      </c>
    </row>
    <row r="262" customFormat="false" ht="15" hidden="false" customHeight="false" outlineLevel="0" collapsed="false">
      <c r="A262" s="0" t="s">
        <v>52</v>
      </c>
      <c r="B262" s="0" t="n">
        <f aca="false">IF(OR(BS262&gt;=Settings!$B$5,Settings!$C$20&gt;0),BS262,0)</f>
        <v>0.0614444444444445</v>
      </c>
      <c r="C262" s="0" t="n">
        <f aca="false">$B262/C$1</f>
        <v>0.0614444444444445</v>
      </c>
      <c r="D262" s="0" t="n">
        <f aca="false">$B262/D$1</f>
        <v>0.0204814814814815</v>
      </c>
      <c r="E262" s="0" t="n">
        <f aca="false">$B262/E$1</f>
        <v>0.0122888888888889</v>
      </c>
      <c r="F262" s="0" t="n">
        <f aca="false">$B262/F$1</f>
        <v>0.00877777777777778</v>
      </c>
      <c r="G262" s="0" t="n">
        <f aca="false">$B262/G$1</f>
        <v>0.00682716049382716</v>
      </c>
      <c r="H262" s="0" t="n">
        <f aca="false">$B262/H$1</f>
        <v>0.00558585858585859</v>
      </c>
      <c r="I262" s="0" t="n">
        <f aca="false">$B262/I$1</f>
        <v>0.00472649572649573</v>
      </c>
      <c r="J262" s="0" t="n">
        <f aca="false">$B262/J$1</f>
        <v>0.0040962962962963</v>
      </c>
      <c r="K262" s="0" t="n">
        <f aca="false">$B262/K$1</f>
        <v>0.00361437908496732</v>
      </c>
      <c r="L262" s="0" t="n">
        <f aca="false">$B262/L$1</f>
        <v>0.00323391812865497</v>
      </c>
      <c r="M262" s="0" t="n">
        <f aca="false">$B262/M$1</f>
        <v>0.00292592592592593</v>
      </c>
      <c r="N262" s="0" t="n">
        <f aca="false">$B262/N$1</f>
        <v>0.00267149758454106</v>
      </c>
      <c r="O262" s="0" t="n">
        <f aca="false">$B262/O$1</f>
        <v>0.00245777777777778</v>
      </c>
      <c r="P262" s="0" t="n">
        <f aca="false">$B262/P$1</f>
        <v>0.00227572016460905</v>
      </c>
      <c r="Q262" s="0" t="n">
        <f aca="false">$B262/Q$1</f>
        <v>0.00211877394636015</v>
      </c>
      <c r="R262" s="0" t="n">
        <f aca="false">$B262/R$1</f>
        <v>0.0019820788530466</v>
      </c>
      <c r="S262" s="0" t="n">
        <f aca="false">$B262/S$1</f>
        <v>0.00186195286195286</v>
      </c>
      <c r="T262" s="0" t="n">
        <f aca="false">$B262/T$1</f>
        <v>0.00175555555555556</v>
      </c>
      <c r="U262" s="0" t="n">
        <f aca="false">$B262/U$1</f>
        <v>0.00166066066066066</v>
      </c>
      <c r="V262" s="0" t="n">
        <f aca="false">$B262/V$1</f>
        <v>0.00157549857549858</v>
      </c>
      <c r="W262" s="0" t="n">
        <f aca="false">$B262/W$1</f>
        <v>0.00149864498644986</v>
      </c>
      <c r="X262" s="0" t="n">
        <f aca="false">$B262/X$1</f>
        <v>0.00142894056847545</v>
      </c>
      <c r="Y262" s="0" t="n">
        <f aca="false">$B262/Y$1</f>
        <v>0.00136543209876543</v>
      </c>
      <c r="Z262" s="0" t="n">
        <f aca="false">$B262/Z$1</f>
        <v>0.00130732860520095</v>
      </c>
      <c r="AA262" s="0" t="n">
        <f aca="false">$B262/AA$1</f>
        <v>0.00125396825396825</v>
      </c>
      <c r="AB262" s="0" t="n">
        <f aca="false">$B262/AB$1</f>
        <v>0.00120479302832244</v>
      </c>
      <c r="AC262" s="0" t="n">
        <f aca="false">$B262/AC$1</f>
        <v>0.00115932914046122</v>
      </c>
      <c r="AD262" s="0" t="n">
        <f aca="false">$B262/AD$1</f>
        <v>0.00111717171717172</v>
      </c>
      <c r="AE262" s="0" t="n">
        <f aca="false">$B262/AE$1</f>
        <v>0.00107797270955166</v>
      </c>
      <c r="AF262" s="0" t="n">
        <f aca="false">$B262/AF$1</f>
        <v>0.00104143126177024</v>
      </c>
      <c r="AG262" s="0" t="n">
        <f aca="false">$B262/AG$1</f>
        <v>0.00100728597449909</v>
      </c>
      <c r="AH262" s="0" t="n">
        <f aca="false">$B262/AH$1</f>
        <v>0.000975308641975309</v>
      </c>
      <c r="AI262" s="0" t="n">
        <f aca="false">$B262/AI$1</f>
        <v>0.000945299145299145</v>
      </c>
      <c r="AJ262" s="0" t="n">
        <f aca="false">$B262/AJ$1</f>
        <v>0.000917081260364843</v>
      </c>
      <c r="AK262" s="0" t="n">
        <f aca="false">$B262/AK$1</f>
        <v>0.000890499194847021</v>
      </c>
      <c r="AL262" s="0" t="n">
        <f aca="false">$B262/AL$1</f>
        <v>0.000865414710485133</v>
      </c>
      <c r="AM262" s="0" t="n">
        <f aca="false">$B262/AM$1</f>
        <v>0.000841704718417047</v>
      </c>
      <c r="AN262" s="0" t="n">
        <f aca="false">$B262/AN$1</f>
        <v>0.000819259259259259</v>
      </c>
      <c r="AO262" s="0" t="n">
        <f aca="false">$B262/AO$1</f>
        <v>0.000797979797979798</v>
      </c>
      <c r="AP262" s="0" t="n">
        <f aca="false">$B262/AP$1</f>
        <v>0.000777777777777778</v>
      </c>
      <c r="AQ262" s="0" t="n">
        <f aca="false">$B262/AQ$1</f>
        <v>0.000758573388203018</v>
      </c>
      <c r="AR262" s="0" t="n">
        <f aca="false">$B262/AR$1</f>
        <v>0.000740294511378849</v>
      </c>
      <c r="AS262" s="0" t="n">
        <f aca="false">$B262/AS$1</f>
        <v>0.000722875816993464</v>
      </c>
      <c r="AT262" s="0" t="n">
        <f aca="false">$B262/AT$1</f>
        <v>0.000706257982120051</v>
      </c>
      <c r="AU262" s="0" t="n">
        <f aca="false">$B262/AU$1</f>
        <v>0.000690387016229713</v>
      </c>
      <c r="AV262" s="0" t="n">
        <f aca="false">$B262/AV$1</f>
        <v>0.000675213675213675</v>
      </c>
      <c r="AW262" s="0" t="n">
        <f aca="false">$B262/AW$1</f>
        <v>0.000660692951015532</v>
      </c>
      <c r="AX262" s="0" t="n">
        <f aca="false">$B262/AX$1</f>
        <v>0.000646783625730994</v>
      </c>
      <c r="AY262" s="0" t="n">
        <f aca="false">$B262/AY$1</f>
        <v>0.000633447880870561</v>
      </c>
      <c r="AZ262" s="0" t="n">
        <f aca="false">$B262/AZ$1</f>
        <v>0.000620650953984287</v>
      </c>
      <c r="BA262" s="0" t="n">
        <f aca="false">$B262/BA$1</f>
        <v>0.000608360836083608</v>
      </c>
      <c r="BB262" s="0" t="n">
        <f aca="false">$B262/BB$1</f>
        <v>0.000596548004314995</v>
      </c>
      <c r="BC262" s="0" t="n">
        <f aca="false">$B262/BC$1</f>
        <v>0.000585185185185185</v>
      </c>
      <c r="BD262" s="0" t="n">
        <f aca="false">$B262/BD$1</f>
        <v>0.000574247144340602</v>
      </c>
      <c r="BE262" s="0" t="n">
        <f aca="false">$B262/BE$1</f>
        <v>0.000563710499490316</v>
      </c>
      <c r="BF262" s="0" t="n">
        <f aca="false">$B262/BF$1</f>
        <v>0.000553553553553554</v>
      </c>
      <c r="BG262" s="0" t="n">
        <f aca="false">$B262/BG$1</f>
        <v>0.000543756145526057</v>
      </c>
      <c r="BH262" s="0" t="n">
        <f aca="false">$B262/BH$1</f>
        <v>0.000534299516908213</v>
      </c>
      <c r="BI262" s="0" t="n">
        <f aca="false">$B262/BI$1</f>
        <v>0.000525166191832859</v>
      </c>
      <c r="BJ262" s="0" t="n">
        <f aca="false">$B262/BJ$1</f>
        <v>0.000516339869281046</v>
      </c>
      <c r="BL262" s="0" t="n">
        <f aca="false">IF($B$255=1,COUNTIF(C262:BJ262,"&gt;="&amp;$C$255),0)</f>
        <v>7</v>
      </c>
      <c r="BM262" s="0" t="n">
        <f aca="false">IF($B$255=1,IF(OR(BS262&gt;=Settings!$B$5,Settings!$C$20&gt;0),MAX(BL262,Settings!$C$20),0),0)</f>
        <v>7</v>
      </c>
      <c r="BN262" s="0" t="n">
        <f aca="false">IF($B$255=1,IF(OR(BS262&gt;=Settings!$B$5,Settings!$C$20&gt;0),MAX(0,(2*MAX(BL262,Settings!$C$20)+1)*$C$255-BS262),MAX(0,Settings!$B$5-BS262)),"")</f>
        <v>0.000555555555555552</v>
      </c>
      <c r="BO262" s="0" t="n">
        <f aca="false">IF($B$255=1,IF(OR(BS262&gt;=Settings!$B$5,Settings!$C$20&gt;0),IF(BL262&lt;=Settings!$C$20,"Protected by electorates",IF(Settings!$C$20=0,MIN(BS262-(2*BL262-1)*$D$255,BS262-Settings!$B$5),BS262-(2*BL262-1)*$D$255)),""),"")</f>
        <v>0.00776972624798712</v>
      </c>
      <c r="BP262" s="0" t="n">
        <f aca="false">IF($B$255=1,IF(OR(BS262&gt;=Settings!$B$5,Settings!$C$20&gt;0),MAX(0,MIN(1,(BS262/$C$255-(2*MAX(BL262,Settings!$C$20)-1))/2)),MIN(1,BS262/Settings!$B$5)),"")</f>
        <v>0.932795698924731</v>
      </c>
      <c r="BQ262" s="0" t="n">
        <f aca="false">IF(AND($B$255=1,COUNTIF(C262:BJ262,$C$255)&gt;0),1,0)</f>
        <v>0</v>
      </c>
      <c r="BR262" s="0" t="n">
        <f aca="false">IF(AND($B$255=1,COUNTIF(C262:BJ262,$D$255)&gt;0),1,0)</f>
        <v>0</v>
      </c>
      <c r="BS262" s="0" t="n">
        <f aca="false">N(IF(Polls!N34="",Polls!N37,Polls!N34))</f>
        <v>0.0614444444444445</v>
      </c>
      <c r="BT262" s="0" t="str">
        <f aca="false">IF(OR(BS262&gt;=Settings!$B$5,Settings!$C$20&gt;0),"Next seat","Threshold")</f>
        <v>Next seat</v>
      </c>
    </row>
    <row r="264" customFormat="false" ht="15" hidden="false" customHeight="false" outlineLevel="0" collapsed="false">
      <c r="A264" s="41" t="n">
        <f aca="false">Polls!A35</f>
        <v>0</v>
      </c>
      <c r="B264" s="17" t="n">
        <f aca="false">IF(SUM(BS265:BS271)&gt;0,1,0)</f>
        <v>1</v>
      </c>
      <c r="C264" s="17" t="n">
        <f aca="false">IF(B264=1,LARGE(C265:BJ271,Settings!$B$4),0)</f>
        <v>0.00413333333333333</v>
      </c>
      <c r="D264" s="17" t="n">
        <f aca="false">IF(B264=1,LARGE(C265:BJ271,Settings!$B$4+1),0)</f>
        <v>0.00412882447665056</v>
      </c>
      <c r="E264" s="0" t="str">
        <f aca="false">IF(B264=1,IFERROR(INDEX(A265:A271,MATCH(1,BQ265:BQ271,0)),""),"")</f>
        <v>NZF</v>
      </c>
      <c r="F264" s="0" t="str">
        <f aca="false">IF(B264=1,IFERROR(INDEX(A265:A271,MATCH(1,BR265:BR271,0)),""),"")</f>
        <v>NAT</v>
      </c>
      <c r="G264" s="17" t="n">
        <f aca="false">IF(B264=1,SUM(BM265:BM271)+Settings!$B$10,"")</f>
        <v>122</v>
      </c>
    </row>
    <row r="265" customFormat="false" ht="15" hidden="false" customHeight="false" outlineLevel="0" collapsed="false">
      <c r="A265" s="0" t="s">
        <v>41</v>
      </c>
      <c r="B265" s="0" t="n">
        <f aca="false">IF(OR(BS265&gt;=Settings!$B$5,Settings!$C$14&gt;0),BS265,0)</f>
        <v>0.284888888888889</v>
      </c>
      <c r="C265" s="0" t="n">
        <f aca="false">$B265/C$1</f>
        <v>0.284888888888889</v>
      </c>
      <c r="D265" s="0" t="n">
        <f aca="false">$B265/D$1</f>
        <v>0.094962962962963</v>
      </c>
      <c r="E265" s="0" t="n">
        <f aca="false">$B265/E$1</f>
        <v>0.0569777777777778</v>
      </c>
      <c r="F265" s="0" t="n">
        <f aca="false">$B265/F$1</f>
        <v>0.0406984126984127</v>
      </c>
      <c r="G265" s="0" t="n">
        <f aca="false">$B265/G$1</f>
        <v>0.0316543209876543</v>
      </c>
      <c r="H265" s="0" t="n">
        <f aca="false">$B265/H$1</f>
        <v>0.0258989898989899</v>
      </c>
      <c r="I265" s="0" t="n">
        <f aca="false">$B265/I$1</f>
        <v>0.0219145299145299</v>
      </c>
      <c r="J265" s="0" t="n">
        <f aca="false">$B265/J$1</f>
        <v>0.0189925925925926</v>
      </c>
      <c r="K265" s="0" t="n">
        <f aca="false">$B265/K$1</f>
        <v>0.0167581699346405</v>
      </c>
      <c r="L265" s="0" t="n">
        <f aca="false">$B265/L$1</f>
        <v>0.0149941520467836</v>
      </c>
      <c r="M265" s="0" t="n">
        <f aca="false">$B265/M$1</f>
        <v>0.0135661375661376</v>
      </c>
      <c r="N265" s="0" t="n">
        <f aca="false">$B265/N$1</f>
        <v>0.0123864734299517</v>
      </c>
      <c r="O265" s="0" t="n">
        <f aca="false">$B265/O$1</f>
        <v>0.0113955555555556</v>
      </c>
      <c r="P265" s="0" t="n">
        <f aca="false">$B265/P$1</f>
        <v>0.0105514403292181</v>
      </c>
      <c r="Q265" s="0" t="n">
        <f aca="false">$B265/Q$1</f>
        <v>0.00982375478927203</v>
      </c>
      <c r="R265" s="0" t="n">
        <f aca="false">$B265/R$1</f>
        <v>0.0091899641577061</v>
      </c>
      <c r="S265" s="0" t="n">
        <f aca="false">$B265/S$1</f>
        <v>0.00863299663299663</v>
      </c>
      <c r="T265" s="0" t="n">
        <f aca="false">$B265/T$1</f>
        <v>0.00813968253968254</v>
      </c>
      <c r="U265" s="0" t="n">
        <f aca="false">$B265/U$1</f>
        <v>0.0076996996996997</v>
      </c>
      <c r="V265" s="0" t="n">
        <f aca="false">$B265/V$1</f>
        <v>0.00730484330484331</v>
      </c>
      <c r="W265" s="0" t="n">
        <f aca="false">$B265/W$1</f>
        <v>0.00694850948509485</v>
      </c>
      <c r="X265" s="0" t="n">
        <f aca="false">$B265/X$1</f>
        <v>0.00662532299741602</v>
      </c>
      <c r="Y265" s="0" t="n">
        <f aca="false">$B265/Y$1</f>
        <v>0.00633086419753086</v>
      </c>
      <c r="Z265" s="0" t="n">
        <f aca="false">$B265/Z$1</f>
        <v>0.00606146572104019</v>
      </c>
      <c r="AA265" s="0" t="n">
        <f aca="false">$B265/AA$1</f>
        <v>0.0058140589569161</v>
      </c>
      <c r="AB265" s="0" t="n">
        <f aca="false">$B265/AB$1</f>
        <v>0.00558605664488018</v>
      </c>
      <c r="AC265" s="0" t="n">
        <f aca="false">$B265/AC$1</f>
        <v>0.00537526205450734</v>
      </c>
      <c r="AD265" s="0" t="n">
        <f aca="false">$B265/AD$1</f>
        <v>0.00517979797979798</v>
      </c>
      <c r="AE265" s="0" t="n">
        <f aca="false">$B265/AE$1</f>
        <v>0.00499805068226121</v>
      </c>
      <c r="AF265" s="0" t="n">
        <f aca="false">$B265/AF$1</f>
        <v>0.0048286252354049</v>
      </c>
      <c r="AG265" s="0" t="n">
        <f aca="false">$B265/AG$1</f>
        <v>0.00467030965391621</v>
      </c>
      <c r="AH265" s="0" t="n">
        <f aca="false">$B265/AH$1</f>
        <v>0.00452204585537919</v>
      </c>
      <c r="AI265" s="0" t="n">
        <f aca="false">$B265/AI$1</f>
        <v>0.00438290598290598</v>
      </c>
      <c r="AJ265" s="0" t="n">
        <f aca="false">$B265/AJ$1</f>
        <v>0.00425207296849088</v>
      </c>
      <c r="AK265" s="0" t="n">
        <f aca="false">$B265/AK$1</f>
        <v>0.00412882447665056</v>
      </c>
      <c r="AL265" s="0" t="n">
        <f aca="false">$B265/AL$1</f>
        <v>0.00401251956181534</v>
      </c>
      <c r="AM265" s="0" t="n">
        <f aca="false">$B265/AM$1</f>
        <v>0.00390258751902588</v>
      </c>
      <c r="AN265" s="0" t="n">
        <f aca="false">$B265/AN$1</f>
        <v>0.00379851851851852</v>
      </c>
      <c r="AO265" s="0" t="n">
        <f aca="false">$B265/AO$1</f>
        <v>0.0036998556998557</v>
      </c>
      <c r="AP265" s="0" t="n">
        <f aca="false">$B265/AP$1</f>
        <v>0.00360618846694796</v>
      </c>
      <c r="AQ265" s="0" t="n">
        <f aca="false">$B265/AQ$1</f>
        <v>0.00351714677640604</v>
      </c>
      <c r="AR265" s="0" t="n">
        <f aca="false">$B265/AR$1</f>
        <v>0.00343239625167336</v>
      </c>
      <c r="AS265" s="0" t="n">
        <f aca="false">$B265/AS$1</f>
        <v>0.00335163398692811</v>
      </c>
      <c r="AT265" s="0" t="n">
        <f aca="false">$B265/AT$1</f>
        <v>0.00327458492975734</v>
      </c>
      <c r="AU265" s="0" t="n">
        <f aca="false">$B265/AU$1</f>
        <v>0.00320099875156055</v>
      </c>
      <c r="AV265" s="0" t="n">
        <f aca="false">$B265/AV$1</f>
        <v>0.00313064713064713</v>
      </c>
      <c r="AW265" s="0" t="n">
        <f aca="false">$B265/AW$1</f>
        <v>0.00306332138590203</v>
      </c>
      <c r="AX265" s="0" t="n">
        <f aca="false">$B265/AX$1</f>
        <v>0.00299883040935673</v>
      </c>
      <c r="AY265" s="0" t="n">
        <f aca="false">$B265/AY$1</f>
        <v>0.00293699885452463</v>
      </c>
      <c r="AZ265" s="0" t="n">
        <f aca="false">$B265/AZ$1</f>
        <v>0.00287766554433221</v>
      </c>
      <c r="BA265" s="0" t="n">
        <f aca="false">$B265/BA$1</f>
        <v>0.00282068206820682</v>
      </c>
      <c r="BB265" s="0" t="n">
        <f aca="false">$B265/BB$1</f>
        <v>0.00276591154261057</v>
      </c>
      <c r="BC265" s="0" t="n">
        <f aca="false">$B265/BC$1</f>
        <v>0.00271322751322751</v>
      </c>
      <c r="BD265" s="0" t="n">
        <f aca="false">$B265/BD$1</f>
        <v>0.00266251298026999</v>
      </c>
      <c r="BE265" s="0" t="n">
        <f aca="false">$B265/BE$1</f>
        <v>0.00261365953109072</v>
      </c>
      <c r="BF265" s="0" t="n">
        <f aca="false">$B265/BF$1</f>
        <v>0.00256656656656657</v>
      </c>
      <c r="BG265" s="0" t="n">
        <f aca="false">$B265/BG$1</f>
        <v>0.00252114060963619</v>
      </c>
      <c r="BH265" s="0" t="n">
        <f aca="false">$B265/BH$1</f>
        <v>0.00247729468599034</v>
      </c>
      <c r="BI265" s="0" t="n">
        <f aca="false">$B265/BI$1</f>
        <v>0.0024349477682811</v>
      </c>
      <c r="BJ265" s="0" t="n">
        <f aca="false">$B265/BJ$1</f>
        <v>0.00239402427637722</v>
      </c>
      <c r="BL265" s="0" t="n">
        <f aca="false">IF($B$264=1,COUNTIF(C265:BJ265,"&gt;="&amp;$C$264),0)</f>
        <v>34</v>
      </c>
      <c r="BM265" s="0" t="n">
        <f aca="false">IF($B$264=1,IF(OR(BS265&gt;=Settings!$B$5,Settings!$C$14&gt;0),MAX(BL265,Settings!$C$14),0),0)</f>
        <v>34</v>
      </c>
      <c r="BN265" s="0" t="n">
        <f aca="false">IF($B$264=1,IF(OR(BS265&gt;=Settings!$B$5,Settings!$C$14&gt;0),MAX(0,(2*MAX(BL265,Settings!$C$14)+1)*$C$264-BS265),MAX(0,Settings!$B$5-BS265)),"")</f>
        <v>0.000311111111111095</v>
      </c>
      <c r="BO265" s="0" t="n">
        <f aca="false">IF($B$264=1,IF(OR(BS265&gt;=Settings!$B$5,Settings!$C$14&gt;0),IF(BL265&lt;=Settings!$C$14,"Protected by electorates",IF(Settings!$C$14=0,MIN(BS265-(2*BL265-1)*$D$264,BS265-Settings!$B$5),BS265-(2*BL265-1)*$D$264)),""),"")</f>
        <v>0.00825764895330111</v>
      </c>
      <c r="BP265" s="0" t="n">
        <f aca="false">IF($B$264=1,IF(OR(BS265&gt;=Settings!$B$5,Settings!$C$14&gt;0),MAX(0,MIN(1,(BS265/$C$264-(2*MAX(BL265,Settings!$C$14)-1))/2)),MIN(1,BS265/Settings!$B$5)),"")</f>
        <v>0.962365591397848</v>
      </c>
      <c r="BQ265" s="0" t="n">
        <f aca="false">IF(AND($B$264=1,COUNTIF(C265:BJ265,$C$264)&gt;0),1,0)</f>
        <v>0</v>
      </c>
      <c r="BR265" s="0" t="n">
        <f aca="false">IF(AND($B$264=1,COUNTIF(C265:BJ265,$D$264)&gt;0),1,0)</f>
        <v>1</v>
      </c>
      <c r="BS265" s="0" t="n">
        <f aca="false">N(IF(Polls!H35="",Polls!H37,Polls!H35))</f>
        <v>0.284888888888889</v>
      </c>
      <c r="BT265" s="0" t="str">
        <f aca="false">IF(OR(BS265&gt;=Settings!$B$5,Settings!$C$14&gt;0),"Next seat","Threshold")</f>
        <v>Next seat</v>
      </c>
    </row>
    <row r="266" customFormat="false" ht="15" hidden="false" customHeight="false" outlineLevel="0" collapsed="false">
      <c r="A266" s="0" t="s">
        <v>43</v>
      </c>
      <c r="B266" s="0" t="n">
        <f aca="false">IF(OR(BS266&gt;=Settings!$B$5,Settings!$C$15&gt;0),BS266,0)</f>
        <v>0.279333333333333</v>
      </c>
      <c r="C266" s="0" t="n">
        <f aca="false">$B266/C$1</f>
        <v>0.279333333333333</v>
      </c>
      <c r="D266" s="0" t="n">
        <f aca="false">$B266/D$1</f>
        <v>0.0931111111111111</v>
      </c>
      <c r="E266" s="0" t="n">
        <f aca="false">$B266/E$1</f>
        <v>0.0558666666666667</v>
      </c>
      <c r="F266" s="0" t="n">
        <f aca="false">$B266/F$1</f>
        <v>0.0399047619047619</v>
      </c>
      <c r="G266" s="0" t="n">
        <f aca="false">$B266/G$1</f>
        <v>0.031037037037037</v>
      </c>
      <c r="H266" s="0" t="n">
        <f aca="false">$B266/H$1</f>
        <v>0.0253939393939394</v>
      </c>
      <c r="I266" s="0" t="n">
        <f aca="false">$B266/I$1</f>
        <v>0.0214871794871795</v>
      </c>
      <c r="J266" s="0" t="n">
        <f aca="false">$B266/J$1</f>
        <v>0.0186222222222222</v>
      </c>
      <c r="K266" s="0" t="n">
        <f aca="false">$B266/K$1</f>
        <v>0.0164313725490196</v>
      </c>
      <c r="L266" s="0" t="n">
        <f aca="false">$B266/L$1</f>
        <v>0.0147017543859649</v>
      </c>
      <c r="M266" s="0" t="n">
        <f aca="false">$B266/M$1</f>
        <v>0.0133015873015873</v>
      </c>
      <c r="N266" s="0" t="n">
        <f aca="false">$B266/N$1</f>
        <v>0.0121449275362319</v>
      </c>
      <c r="O266" s="0" t="n">
        <f aca="false">$B266/O$1</f>
        <v>0.0111733333333333</v>
      </c>
      <c r="P266" s="0" t="n">
        <f aca="false">$B266/P$1</f>
        <v>0.0103456790123457</v>
      </c>
      <c r="Q266" s="0" t="n">
        <f aca="false">$B266/Q$1</f>
        <v>0.00963218390804598</v>
      </c>
      <c r="R266" s="0" t="n">
        <f aca="false">$B266/R$1</f>
        <v>0.00901075268817204</v>
      </c>
      <c r="S266" s="0" t="n">
        <f aca="false">$B266/S$1</f>
        <v>0.00846464646464647</v>
      </c>
      <c r="T266" s="0" t="n">
        <f aca="false">$B266/T$1</f>
        <v>0.00798095238095238</v>
      </c>
      <c r="U266" s="0" t="n">
        <f aca="false">$B266/U$1</f>
        <v>0.00754954954954955</v>
      </c>
      <c r="V266" s="0" t="n">
        <f aca="false">$B266/V$1</f>
        <v>0.00716239316239316</v>
      </c>
      <c r="W266" s="0" t="n">
        <f aca="false">$B266/W$1</f>
        <v>0.0068130081300813</v>
      </c>
      <c r="X266" s="0" t="n">
        <f aca="false">$B266/X$1</f>
        <v>0.00649612403100775</v>
      </c>
      <c r="Y266" s="0" t="n">
        <f aca="false">$B266/Y$1</f>
        <v>0.00620740740740741</v>
      </c>
      <c r="Z266" s="0" t="n">
        <f aca="false">$B266/Z$1</f>
        <v>0.00594326241134752</v>
      </c>
      <c r="AA266" s="0" t="n">
        <f aca="false">$B266/AA$1</f>
        <v>0.00570068027210885</v>
      </c>
      <c r="AB266" s="0" t="n">
        <f aca="false">$B266/AB$1</f>
        <v>0.00547712418300654</v>
      </c>
      <c r="AC266" s="0" t="n">
        <f aca="false">$B266/AC$1</f>
        <v>0.00527044025157233</v>
      </c>
      <c r="AD266" s="0" t="n">
        <f aca="false">$B266/AD$1</f>
        <v>0.00507878787878788</v>
      </c>
      <c r="AE266" s="0" t="n">
        <f aca="false">$B266/AE$1</f>
        <v>0.00490058479532164</v>
      </c>
      <c r="AF266" s="0" t="n">
        <f aca="false">$B266/AF$1</f>
        <v>0.00473446327683616</v>
      </c>
      <c r="AG266" s="0" t="n">
        <f aca="false">$B266/AG$1</f>
        <v>0.0045792349726776</v>
      </c>
      <c r="AH266" s="0" t="n">
        <f aca="false">$B266/AH$1</f>
        <v>0.00443386243386244</v>
      </c>
      <c r="AI266" s="0" t="n">
        <f aca="false">$B266/AI$1</f>
        <v>0.0042974358974359</v>
      </c>
      <c r="AJ266" s="0" t="n">
        <f aca="false">$B266/AJ$1</f>
        <v>0.00416915422885572</v>
      </c>
      <c r="AK266" s="0" t="n">
        <f aca="false">$B266/AK$1</f>
        <v>0.00404830917874396</v>
      </c>
      <c r="AL266" s="0" t="n">
        <f aca="false">$B266/AL$1</f>
        <v>0.00393427230046948</v>
      </c>
      <c r="AM266" s="0" t="n">
        <f aca="false">$B266/AM$1</f>
        <v>0.00382648401826484</v>
      </c>
      <c r="AN266" s="0" t="n">
        <f aca="false">$B266/AN$1</f>
        <v>0.00372444444444445</v>
      </c>
      <c r="AO266" s="0" t="n">
        <f aca="false">$B266/AO$1</f>
        <v>0.00362770562770563</v>
      </c>
      <c r="AP266" s="0" t="n">
        <f aca="false">$B266/AP$1</f>
        <v>0.00353586497890295</v>
      </c>
      <c r="AQ266" s="0" t="n">
        <f aca="false">$B266/AQ$1</f>
        <v>0.00344855967078189</v>
      </c>
      <c r="AR266" s="0" t="n">
        <f aca="false">$B266/AR$1</f>
        <v>0.00336546184738956</v>
      </c>
      <c r="AS266" s="0" t="n">
        <f aca="false">$B266/AS$1</f>
        <v>0.00328627450980392</v>
      </c>
      <c r="AT266" s="0" t="n">
        <f aca="false">$B266/AT$1</f>
        <v>0.00321072796934866</v>
      </c>
      <c r="AU266" s="0" t="n">
        <f aca="false">$B266/AU$1</f>
        <v>0.00313857677902622</v>
      </c>
      <c r="AV266" s="0" t="n">
        <f aca="false">$B266/AV$1</f>
        <v>0.00306959706959707</v>
      </c>
      <c r="AW266" s="0" t="n">
        <f aca="false">$B266/AW$1</f>
        <v>0.00300358422939068</v>
      </c>
      <c r="AX266" s="0" t="n">
        <f aca="false">$B266/AX$1</f>
        <v>0.00294035087719298</v>
      </c>
      <c r="AY266" s="0" t="n">
        <f aca="false">$B266/AY$1</f>
        <v>0.00287972508591065</v>
      </c>
      <c r="AZ266" s="0" t="n">
        <f aca="false">$B266/AZ$1</f>
        <v>0.00282154882154882</v>
      </c>
      <c r="BA266" s="0" t="n">
        <f aca="false">$B266/BA$1</f>
        <v>0.00276567656765677</v>
      </c>
      <c r="BB266" s="0" t="n">
        <f aca="false">$B266/BB$1</f>
        <v>0.00271197411003236</v>
      </c>
      <c r="BC266" s="0" t="n">
        <f aca="false">$B266/BC$1</f>
        <v>0.00266031746031746</v>
      </c>
      <c r="BD266" s="0" t="n">
        <f aca="false">$B266/BD$1</f>
        <v>0.00261059190031153</v>
      </c>
      <c r="BE266" s="0" t="n">
        <f aca="false">$B266/BE$1</f>
        <v>0.00256269113149847</v>
      </c>
      <c r="BF266" s="0" t="n">
        <f aca="false">$B266/BF$1</f>
        <v>0.00251651651651652</v>
      </c>
      <c r="BG266" s="0" t="n">
        <f aca="false">$B266/BG$1</f>
        <v>0.00247197640117994</v>
      </c>
      <c r="BH266" s="0" t="n">
        <f aca="false">$B266/BH$1</f>
        <v>0.00242898550724638</v>
      </c>
      <c r="BI266" s="0" t="n">
        <f aca="false">$B266/BI$1</f>
        <v>0.00238746438746439</v>
      </c>
      <c r="BJ266" s="0" t="n">
        <f aca="false">$B266/BJ$1</f>
        <v>0.00234733893557423</v>
      </c>
      <c r="BL266" s="0" t="n">
        <f aca="false">IF($B$264=1,COUNTIF(C266:BJ266,"&gt;="&amp;$C$264),0)</f>
        <v>34</v>
      </c>
      <c r="BM266" s="0" t="n">
        <f aca="false">IF($B$264=1,IF(OR(BS266&gt;=Settings!$B$5,Settings!$C$15&gt;0),MAX(BL266,Settings!$C$15),0),0)</f>
        <v>34</v>
      </c>
      <c r="BN266" s="0" t="n">
        <f aca="false">IF($B$264=1,IF(OR(BS266&gt;=Settings!$B$5,Settings!$C$15&gt;0),MAX(0,(2*MAX(BL266,Settings!$C$15)+1)*$C$264-BS266),MAX(0,Settings!$B$5-BS266)),"")</f>
        <v>0.00586666666666663</v>
      </c>
      <c r="BO266" s="0" t="n">
        <f aca="false">IF($B$264=1,IF(OR(BS266&gt;=Settings!$B$5,Settings!$C$15&gt;0),IF(BL266&lt;=Settings!$C$15,"Protected by electorates",IF(Settings!$C$15=0,MIN(BS266-(2*BL266-1)*$D$264,BS266-Settings!$B$5),BS266-(2*BL266-1)*$D$264)),""),"")</f>
        <v>0.00270209339774558</v>
      </c>
      <c r="BP266" s="0" t="n">
        <f aca="false">IF($B$264=1,IF(OR(BS266&gt;=Settings!$B$5,Settings!$C$15&gt;0),MAX(0,MIN(1,(BS266/$C$264-(2*MAX(BL266,Settings!$C$15)-1))/2)),MIN(1,BS266/Settings!$B$5)),"")</f>
        <v>0.290322580645167</v>
      </c>
      <c r="BQ266" s="0" t="n">
        <f aca="false">IF(AND($B$264=1,COUNTIF(C266:BJ266,$C$264)&gt;0),1,0)</f>
        <v>0</v>
      </c>
      <c r="BR266" s="0" t="n">
        <f aca="false">IF(AND($B$264=1,COUNTIF(C266:BJ266,$D$264)&gt;0),1,0)</f>
        <v>0</v>
      </c>
      <c r="BS266" s="0" t="n">
        <f aca="false">N(IF(Polls!I35="",Polls!I37,Polls!I35))</f>
        <v>0.279333333333333</v>
      </c>
      <c r="BT266" s="0" t="str">
        <f aca="false">IF(OR(BS266&gt;=Settings!$B$5,Settings!$C$15&gt;0),"Next seat","Threshold")</f>
        <v>Next seat</v>
      </c>
    </row>
    <row r="267" customFormat="false" ht="15" hidden="false" customHeight="false" outlineLevel="0" collapsed="false">
      <c r="A267" s="0" t="s">
        <v>45</v>
      </c>
      <c r="B267" s="0" t="n">
        <f aca="false">IF(OR(BS267&gt;=Settings!$B$5,Settings!$C$16&gt;0),BS267,0)</f>
        <v>0.145555555555556</v>
      </c>
      <c r="C267" s="0" t="n">
        <f aca="false">$B267/C$1</f>
        <v>0.145555555555556</v>
      </c>
      <c r="D267" s="0" t="n">
        <f aca="false">$B267/D$1</f>
        <v>0.0485185185185185</v>
      </c>
      <c r="E267" s="0" t="n">
        <f aca="false">$B267/E$1</f>
        <v>0.0291111111111111</v>
      </c>
      <c r="F267" s="0" t="n">
        <f aca="false">$B267/F$1</f>
        <v>0.0207936507936508</v>
      </c>
      <c r="G267" s="0" t="n">
        <f aca="false">$B267/G$1</f>
        <v>0.0161728395061728</v>
      </c>
      <c r="H267" s="0" t="n">
        <f aca="false">$B267/H$1</f>
        <v>0.0132323232323232</v>
      </c>
      <c r="I267" s="0" t="n">
        <f aca="false">$B267/I$1</f>
        <v>0.0111965811965812</v>
      </c>
      <c r="J267" s="0" t="n">
        <f aca="false">$B267/J$1</f>
        <v>0.0097037037037037</v>
      </c>
      <c r="K267" s="0" t="n">
        <f aca="false">$B267/K$1</f>
        <v>0.00856209150326797</v>
      </c>
      <c r="L267" s="0" t="n">
        <f aca="false">$B267/L$1</f>
        <v>0.00766081871345029</v>
      </c>
      <c r="M267" s="0" t="n">
        <f aca="false">$B267/M$1</f>
        <v>0.00693121693121693</v>
      </c>
      <c r="N267" s="0" t="n">
        <f aca="false">$B267/N$1</f>
        <v>0.00632850241545894</v>
      </c>
      <c r="O267" s="0" t="n">
        <f aca="false">$B267/O$1</f>
        <v>0.00582222222222222</v>
      </c>
      <c r="P267" s="0" t="n">
        <f aca="false">$B267/P$1</f>
        <v>0.00539094650205761</v>
      </c>
      <c r="Q267" s="0" t="n">
        <f aca="false">$B267/Q$1</f>
        <v>0.00501915708812261</v>
      </c>
      <c r="R267" s="0" t="n">
        <f aca="false">$B267/R$1</f>
        <v>0.00469534050179212</v>
      </c>
      <c r="S267" s="0" t="n">
        <f aca="false">$B267/S$1</f>
        <v>0.00441077441077441</v>
      </c>
      <c r="T267" s="0" t="n">
        <f aca="false">$B267/T$1</f>
        <v>0.00415873015873016</v>
      </c>
      <c r="U267" s="0" t="n">
        <f aca="false">$B267/U$1</f>
        <v>0.00393393393393393</v>
      </c>
      <c r="V267" s="0" t="n">
        <f aca="false">$B267/V$1</f>
        <v>0.00373219373219373</v>
      </c>
      <c r="W267" s="0" t="n">
        <f aca="false">$B267/W$1</f>
        <v>0.00355013550135501</v>
      </c>
      <c r="X267" s="0" t="n">
        <f aca="false">$B267/X$1</f>
        <v>0.00338501291989664</v>
      </c>
      <c r="Y267" s="0" t="n">
        <f aca="false">$B267/Y$1</f>
        <v>0.00323456790123457</v>
      </c>
      <c r="Z267" s="0" t="n">
        <f aca="false">$B267/Z$1</f>
        <v>0.00309692671394799</v>
      </c>
      <c r="AA267" s="0" t="n">
        <f aca="false">$B267/AA$1</f>
        <v>0.00297052154195011</v>
      </c>
      <c r="AB267" s="0" t="n">
        <f aca="false">$B267/AB$1</f>
        <v>0.00285403050108932</v>
      </c>
      <c r="AC267" s="0" t="n">
        <f aca="false">$B267/AC$1</f>
        <v>0.00274633123689727</v>
      </c>
      <c r="AD267" s="0" t="n">
        <f aca="false">$B267/AD$1</f>
        <v>0.00264646464646465</v>
      </c>
      <c r="AE267" s="0" t="n">
        <f aca="false">$B267/AE$1</f>
        <v>0.00255360623781676</v>
      </c>
      <c r="AF267" s="0" t="n">
        <f aca="false">$B267/AF$1</f>
        <v>0.00246704331450094</v>
      </c>
      <c r="AG267" s="0" t="n">
        <f aca="false">$B267/AG$1</f>
        <v>0.00238615664845173</v>
      </c>
      <c r="AH267" s="0" t="n">
        <f aca="false">$B267/AH$1</f>
        <v>0.00231040564373898</v>
      </c>
      <c r="AI267" s="0" t="n">
        <f aca="false">$B267/AI$1</f>
        <v>0.00223931623931624</v>
      </c>
      <c r="AJ267" s="0" t="n">
        <f aca="false">$B267/AJ$1</f>
        <v>0.00217247097844113</v>
      </c>
      <c r="AK267" s="0" t="n">
        <f aca="false">$B267/AK$1</f>
        <v>0.00210950080515298</v>
      </c>
      <c r="AL267" s="0" t="n">
        <f aca="false">$B267/AL$1</f>
        <v>0.00205007824726135</v>
      </c>
      <c r="AM267" s="0" t="n">
        <f aca="false">$B267/AM$1</f>
        <v>0.00199391171993912</v>
      </c>
      <c r="AN267" s="0" t="n">
        <f aca="false">$B267/AN$1</f>
        <v>0.00194074074074074</v>
      </c>
      <c r="AO267" s="0" t="n">
        <f aca="false">$B267/AO$1</f>
        <v>0.00189033189033189</v>
      </c>
      <c r="AP267" s="0" t="n">
        <f aca="false">$B267/AP$1</f>
        <v>0.00184247538677918</v>
      </c>
      <c r="AQ267" s="0" t="n">
        <f aca="false">$B267/AQ$1</f>
        <v>0.00179698216735254</v>
      </c>
      <c r="AR267" s="0" t="n">
        <f aca="false">$B267/AR$1</f>
        <v>0.00175368139223561</v>
      </c>
      <c r="AS267" s="0" t="n">
        <f aca="false">$B267/AS$1</f>
        <v>0.00171241830065359</v>
      </c>
      <c r="AT267" s="0" t="n">
        <f aca="false">$B267/AT$1</f>
        <v>0.00167305236270754</v>
      </c>
      <c r="AU267" s="0" t="n">
        <f aca="false">$B267/AU$1</f>
        <v>0.0016354556803995</v>
      </c>
      <c r="AV267" s="0" t="n">
        <f aca="false">$B267/AV$1</f>
        <v>0.0015995115995116</v>
      </c>
      <c r="AW267" s="0" t="n">
        <f aca="false">$B267/AW$1</f>
        <v>0.00156511350059737</v>
      </c>
      <c r="AX267" s="0" t="n">
        <f aca="false">$B267/AX$1</f>
        <v>0.00153216374269006</v>
      </c>
      <c r="AY267" s="0" t="n">
        <f aca="false">$B267/AY$1</f>
        <v>0.00150057273768614</v>
      </c>
      <c r="AZ267" s="0" t="n">
        <f aca="false">$B267/AZ$1</f>
        <v>0.0014702581369248</v>
      </c>
      <c r="BA267" s="0" t="n">
        <f aca="false">$B267/BA$1</f>
        <v>0.00144114411441144</v>
      </c>
      <c r="BB267" s="0" t="n">
        <f aca="false">$B267/BB$1</f>
        <v>0.00141316073354908</v>
      </c>
      <c r="BC267" s="0" t="n">
        <f aca="false">$B267/BC$1</f>
        <v>0.00138624338624339</v>
      </c>
      <c r="BD267" s="0" t="n">
        <f aca="false">$B267/BD$1</f>
        <v>0.00136033229491173</v>
      </c>
      <c r="BE267" s="0" t="n">
        <f aca="false">$B267/BE$1</f>
        <v>0.00133537206931702</v>
      </c>
      <c r="BF267" s="0" t="n">
        <f aca="false">$B267/BF$1</f>
        <v>0.00131131131131131</v>
      </c>
      <c r="BG267" s="0" t="n">
        <f aca="false">$B267/BG$1</f>
        <v>0.00128810226155359</v>
      </c>
      <c r="BH267" s="0" t="n">
        <f aca="false">$B267/BH$1</f>
        <v>0.00126570048309179</v>
      </c>
      <c r="BI267" s="0" t="n">
        <f aca="false">$B267/BI$1</f>
        <v>0.00124406457739791</v>
      </c>
      <c r="BJ267" s="0" t="n">
        <f aca="false">$B267/BJ$1</f>
        <v>0.00122315592903828</v>
      </c>
      <c r="BL267" s="0" t="n">
        <f aca="false">IF($B$264=1,COUNTIF(C267:BJ267,"&gt;="&amp;$C$264),0)</f>
        <v>18</v>
      </c>
      <c r="BM267" s="0" t="n">
        <f aca="false">IF($B$264=1,IF(OR(BS267&gt;=Settings!$B$5,Settings!$C$16&gt;0),MAX(BL267,Settings!$C$16),0),0)</f>
        <v>18</v>
      </c>
      <c r="BN267" s="0" t="n">
        <f aca="false">IF($B$264=1,IF(OR(BS267&gt;=Settings!$B$5,Settings!$C$16&gt;0),MAX(0,(2*MAX(BL267,Settings!$C$16)+1)*$C$264-BS267),MAX(0,Settings!$B$5-BS267)),"")</f>
        <v>0.00737777777777779</v>
      </c>
      <c r="BO267" s="0" t="n">
        <f aca="false">IF($B$264=1,IF(OR(BS267&gt;=Settings!$B$5,Settings!$C$16&gt;0),IF(BL267&lt;=Settings!$C$16,"Protected by electorates",IF(Settings!$C$16=0,MIN(BS267-(2*BL267-1)*$D$264,BS267-Settings!$B$5),BS267-(2*BL267-1)*$D$264)),""),"")</f>
        <v>0.0010466988727858</v>
      </c>
      <c r="BP267" s="0" t="n">
        <f aca="false">IF($B$264=1,IF(OR(BS267&gt;=Settings!$B$5,Settings!$C$16&gt;0),MAX(0,MIN(1,(BS267/$C$264-(2*MAX(BL267,Settings!$C$16)-1))/2)),MIN(1,BS267/Settings!$B$5)),"")</f>
        <v>0.107526881720428</v>
      </c>
      <c r="BQ267" s="0" t="n">
        <f aca="false">IF(AND($B$264=1,COUNTIF(C267:BJ267,$C$264)&gt;0),1,0)</f>
        <v>0</v>
      </c>
      <c r="BR267" s="0" t="n">
        <f aca="false">IF(AND($B$264=1,COUNTIF(C267:BJ267,$D$264)&gt;0),1,0)</f>
        <v>0</v>
      </c>
      <c r="BS267" s="0" t="n">
        <f aca="false">N(IF(Polls!J35="",Polls!J37,Polls!J35))</f>
        <v>0.145555555555556</v>
      </c>
      <c r="BT267" s="0" t="str">
        <f aca="false">IF(OR(BS267&gt;=Settings!$B$5,Settings!$C$16&gt;0),"Next seat","Threshold")</f>
        <v>Next seat</v>
      </c>
    </row>
    <row r="268" customFormat="false" ht="15" hidden="false" customHeight="false" outlineLevel="0" collapsed="false">
      <c r="A268" s="0" t="s">
        <v>46</v>
      </c>
      <c r="B268" s="0" t="n">
        <f aca="false">IF(OR(BS268&gt;=Settings!$B$5,Settings!$C$17&gt;0),BS268,0)</f>
        <v>0.0963333333333333</v>
      </c>
      <c r="C268" s="0" t="n">
        <f aca="false">$B268/C$1</f>
        <v>0.0963333333333333</v>
      </c>
      <c r="D268" s="0" t="n">
        <f aca="false">$B268/D$1</f>
        <v>0.0321111111111111</v>
      </c>
      <c r="E268" s="0" t="n">
        <f aca="false">$B268/E$1</f>
        <v>0.0192666666666667</v>
      </c>
      <c r="F268" s="0" t="n">
        <f aca="false">$B268/F$1</f>
        <v>0.0137619047619048</v>
      </c>
      <c r="G268" s="0" t="n">
        <f aca="false">$B268/G$1</f>
        <v>0.0107037037037037</v>
      </c>
      <c r="H268" s="0" t="n">
        <f aca="false">$B268/H$1</f>
        <v>0.00875757575757576</v>
      </c>
      <c r="I268" s="0" t="n">
        <f aca="false">$B268/I$1</f>
        <v>0.00741025641025641</v>
      </c>
      <c r="J268" s="0" t="n">
        <f aca="false">$B268/J$1</f>
        <v>0.00642222222222222</v>
      </c>
      <c r="K268" s="0" t="n">
        <f aca="false">$B268/K$1</f>
        <v>0.00566666666666667</v>
      </c>
      <c r="L268" s="0" t="n">
        <f aca="false">$B268/L$1</f>
        <v>0.00507017543859649</v>
      </c>
      <c r="M268" s="0" t="n">
        <f aca="false">$B268/M$1</f>
        <v>0.00458730158730159</v>
      </c>
      <c r="N268" s="0" t="n">
        <f aca="false">$B268/N$1</f>
        <v>0.00418840579710145</v>
      </c>
      <c r="O268" s="0" t="n">
        <f aca="false">$B268/O$1</f>
        <v>0.00385333333333333</v>
      </c>
      <c r="P268" s="0" t="n">
        <f aca="false">$B268/P$1</f>
        <v>0.0035679012345679</v>
      </c>
      <c r="Q268" s="0" t="n">
        <f aca="false">$B268/Q$1</f>
        <v>0.00332183908045977</v>
      </c>
      <c r="R268" s="0" t="n">
        <f aca="false">$B268/R$1</f>
        <v>0.00310752688172043</v>
      </c>
      <c r="S268" s="0" t="n">
        <f aca="false">$B268/S$1</f>
        <v>0.00291919191919192</v>
      </c>
      <c r="T268" s="0" t="n">
        <f aca="false">$B268/T$1</f>
        <v>0.00275238095238095</v>
      </c>
      <c r="U268" s="0" t="n">
        <f aca="false">$B268/U$1</f>
        <v>0.0026036036036036</v>
      </c>
      <c r="V268" s="0" t="n">
        <f aca="false">$B268/V$1</f>
        <v>0.00247008547008547</v>
      </c>
      <c r="W268" s="0" t="n">
        <f aca="false">$B268/W$1</f>
        <v>0.00234959349593496</v>
      </c>
      <c r="X268" s="0" t="n">
        <f aca="false">$B268/X$1</f>
        <v>0.00224031007751938</v>
      </c>
      <c r="Y268" s="0" t="n">
        <f aca="false">$B268/Y$1</f>
        <v>0.00214074074074074</v>
      </c>
      <c r="Z268" s="0" t="n">
        <f aca="false">$B268/Z$1</f>
        <v>0.00204964539007092</v>
      </c>
      <c r="AA268" s="0" t="n">
        <f aca="false">$B268/AA$1</f>
        <v>0.00196598639455782</v>
      </c>
      <c r="AB268" s="0" t="n">
        <f aca="false">$B268/AB$1</f>
        <v>0.00188888888888889</v>
      </c>
      <c r="AC268" s="0" t="n">
        <f aca="false">$B268/AC$1</f>
        <v>0.00181761006289308</v>
      </c>
      <c r="AD268" s="0" t="n">
        <f aca="false">$B268/AD$1</f>
        <v>0.00175151515151515</v>
      </c>
      <c r="AE268" s="0" t="n">
        <f aca="false">$B268/AE$1</f>
        <v>0.00169005847953216</v>
      </c>
      <c r="AF268" s="0" t="n">
        <f aca="false">$B268/AF$1</f>
        <v>0.00163276836158192</v>
      </c>
      <c r="AG268" s="0" t="n">
        <f aca="false">$B268/AG$1</f>
        <v>0.0015792349726776</v>
      </c>
      <c r="AH268" s="0" t="n">
        <f aca="false">$B268/AH$1</f>
        <v>0.00152910052910053</v>
      </c>
      <c r="AI268" s="0" t="n">
        <f aca="false">$B268/AI$1</f>
        <v>0.00148205128205128</v>
      </c>
      <c r="AJ268" s="0" t="n">
        <f aca="false">$B268/AJ$1</f>
        <v>0.00143781094527363</v>
      </c>
      <c r="AK268" s="0" t="n">
        <f aca="false">$B268/AK$1</f>
        <v>0.00139613526570048</v>
      </c>
      <c r="AL268" s="0" t="n">
        <f aca="false">$B268/AL$1</f>
        <v>0.00135680751173709</v>
      </c>
      <c r="AM268" s="0" t="n">
        <f aca="false">$B268/AM$1</f>
        <v>0.00131963470319635</v>
      </c>
      <c r="AN268" s="0" t="n">
        <f aca="false">$B268/AN$1</f>
        <v>0.00128444444444444</v>
      </c>
      <c r="AO268" s="0" t="n">
        <f aca="false">$B268/AO$1</f>
        <v>0.00125108225108225</v>
      </c>
      <c r="AP268" s="0" t="n">
        <f aca="false">$B268/AP$1</f>
        <v>0.00121940928270042</v>
      </c>
      <c r="AQ268" s="0" t="n">
        <f aca="false">$B268/AQ$1</f>
        <v>0.00118930041152263</v>
      </c>
      <c r="AR268" s="0" t="n">
        <f aca="false">$B268/AR$1</f>
        <v>0.00116064257028112</v>
      </c>
      <c r="AS268" s="0" t="n">
        <f aca="false">$B268/AS$1</f>
        <v>0.00113333333333333</v>
      </c>
      <c r="AT268" s="0" t="n">
        <f aca="false">$B268/AT$1</f>
        <v>0.00110727969348659</v>
      </c>
      <c r="AU268" s="0" t="n">
        <f aca="false">$B268/AU$1</f>
        <v>0.00108239700374532</v>
      </c>
      <c r="AV268" s="0" t="n">
        <f aca="false">$B268/AV$1</f>
        <v>0.00105860805860806</v>
      </c>
      <c r="AW268" s="0" t="n">
        <f aca="false">$B268/AW$1</f>
        <v>0.00103584229390681</v>
      </c>
      <c r="AX268" s="0" t="n">
        <f aca="false">$B268/AX$1</f>
        <v>0.0010140350877193</v>
      </c>
      <c r="AY268" s="0" t="n">
        <f aca="false">$B268/AY$1</f>
        <v>0.000993127147766323</v>
      </c>
      <c r="AZ268" s="0" t="n">
        <f aca="false">$B268/AZ$1</f>
        <v>0.000973063973063973</v>
      </c>
      <c r="BA268" s="0" t="n">
        <f aca="false">$B268/BA$1</f>
        <v>0.000953795379537954</v>
      </c>
      <c r="BB268" s="0" t="n">
        <f aca="false">$B268/BB$1</f>
        <v>0.000935275080906149</v>
      </c>
      <c r="BC268" s="0" t="n">
        <f aca="false">$B268/BC$1</f>
        <v>0.000917460317460317</v>
      </c>
      <c r="BD268" s="0" t="n">
        <f aca="false">$B268/BD$1</f>
        <v>0.000900311526479751</v>
      </c>
      <c r="BE268" s="0" t="n">
        <f aca="false">$B268/BE$1</f>
        <v>0.000883792048929664</v>
      </c>
      <c r="BF268" s="0" t="n">
        <f aca="false">$B268/BF$1</f>
        <v>0.000867867867867868</v>
      </c>
      <c r="BG268" s="0" t="n">
        <f aca="false">$B268/BG$1</f>
        <v>0.000852507374631268</v>
      </c>
      <c r="BH268" s="0" t="n">
        <f aca="false">$B268/BH$1</f>
        <v>0.00083768115942029</v>
      </c>
      <c r="BI268" s="0" t="n">
        <f aca="false">$B268/BI$1</f>
        <v>0.000823361823361823</v>
      </c>
      <c r="BJ268" s="0" t="n">
        <f aca="false">$B268/BJ$1</f>
        <v>0.00080952380952381</v>
      </c>
      <c r="BL268" s="0" t="n">
        <f aca="false">IF($B$264=1,COUNTIF(C268:BJ268,"&gt;="&amp;$C$264),0)</f>
        <v>12</v>
      </c>
      <c r="BM268" s="0" t="n">
        <f aca="false">IF($B$264=1,IF(OR(BS268&gt;=Settings!$B$5,Settings!$C$17&gt;0),MAX(BL268,Settings!$C$17),0),0)</f>
        <v>12</v>
      </c>
      <c r="BN268" s="0" t="n">
        <f aca="false">IF($B$264=1,IF(OR(BS268&gt;=Settings!$B$5,Settings!$C$17&gt;0),MAX(0,(2*MAX(BL268,Settings!$C$17)+1)*$C$264-BS268),MAX(0,Settings!$B$5-BS268)),"")</f>
        <v>0.00700000000000001</v>
      </c>
      <c r="BO268" s="0" t="n">
        <f aca="false">IF($B$264=1,IF(OR(BS268&gt;=Settings!$B$5,Settings!$C$17&gt;0),IF(BL268&lt;=Settings!$C$17,"Protected by electorates",IF(Settings!$C$17=0,MIN(BS268-(2*BL268-1)*$D$264,BS268-Settings!$B$5),BS268-(2*BL268-1)*$D$264)),""),"")</f>
        <v>0.00137037037037036</v>
      </c>
      <c r="BP268" s="0" t="n">
        <f aca="false">IF($B$264=1,IF(OR(BS268&gt;=Settings!$B$5,Settings!$C$17&gt;0),MAX(0,MIN(1,(BS268/$C$264-(2*MAX(BL268,Settings!$C$17)-1))/2)),MIN(1,BS268/Settings!$B$5)),"")</f>
        <v>0.153225806451612</v>
      </c>
      <c r="BQ268" s="0" t="n">
        <f aca="false">IF(AND($B$264=1,COUNTIF(C268:BJ268,$C$264)&gt;0),1,0)</f>
        <v>0</v>
      </c>
      <c r="BR268" s="0" t="n">
        <f aca="false">IF(AND($B$264=1,COUNTIF(C268:BJ268,$D$264)&gt;0),1,0)</f>
        <v>0</v>
      </c>
      <c r="BS268" s="0" t="n">
        <f aca="false">N(IF(Polls!K35="",Polls!K37,Polls!K35))</f>
        <v>0.0963333333333333</v>
      </c>
      <c r="BT268" s="0" t="str">
        <f aca="false">IF(OR(BS268&gt;=Settings!$B$5,Settings!$C$17&gt;0),"Next seat","Threshold")</f>
        <v>Next seat</v>
      </c>
    </row>
    <row r="269" customFormat="false" ht="15" hidden="false" customHeight="false" outlineLevel="0" collapsed="false">
      <c r="A269" s="0" t="s">
        <v>48</v>
      </c>
      <c r="B269" s="0" t="n">
        <f aca="false">IF(OR(BS269&gt;=Settings!$B$5,Settings!$C$18&gt;0),BS269,0)</f>
        <v>0.103333333333333</v>
      </c>
      <c r="C269" s="0" t="n">
        <f aca="false">$B269/C$1</f>
        <v>0.103333333333333</v>
      </c>
      <c r="D269" s="0" t="n">
        <f aca="false">$B269/D$1</f>
        <v>0.0344444444444444</v>
      </c>
      <c r="E269" s="0" t="n">
        <f aca="false">$B269/E$1</f>
        <v>0.0206666666666667</v>
      </c>
      <c r="F269" s="0" t="n">
        <f aca="false">$B269/F$1</f>
        <v>0.0147619047619048</v>
      </c>
      <c r="G269" s="0" t="n">
        <f aca="false">$B269/G$1</f>
        <v>0.0114814814814815</v>
      </c>
      <c r="H269" s="0" t="n">
        <f aca="false">$B269/H$1</f>
        <v>0.00939393939393939</v>
      </c>
      <c r="I269" s="0" t="n">
        <f aca="false">$B269/I$1</f>
        <v>0.00794871794871795</v>
      </c>
      <c r="J269" s="0" t="n">
        <f aca="false">$B269/J$1</f>
        <v>0.00688888888888889</v>
      </c>
      <c r="K269" s="0" t="n">
        <f aca="false">$B269/K$1</f>
        <v>0.00607843137254902</v>
      </c>
      <c r="L269" s="0" t="n">
        <f aca="false">$B269/L$1</f>
        <v>0.00543859649122807</v>
      </c>
      <c r="M269" s="0" t="n">
        <f aca="false">$B269/M$1</f>
        <v>0.00492063492063492</v>
      </c>
      <c r="N269" s="0" t="n">
        <f aca="false">$B269/N$1</f>
        <v>0.00449275362318841</v>
      </c>
      <c r="O269" s="0" t="n">
        <f aca="false">$B269/O$1</f>
        <v>0.00413333333333333</v>
      </c>
      <c r="P269" s="0" t="n">
        <f aca="false">$B269/P$1</f>
        <v>0.00382716049382716</v>
      </c>
      <c r="Q269" s="0" t="n">
        <f aca="false">$B269/Q$1</f>
        <v>0.0035632183908046</v>
      </c>
      <c r="R269" s="0" t="n">
        <f aca="false">$B269/R$1</f>
        <v>0.00333333333333333</v>
      </c>
      <c r="S269" s="0" t="n">
        <f aca="false">$B269/S$1</f>
        <v>0.00313131313131313</v>
      </c>
      <c r="T269" s="0" t="n">
        <f aca="false">$B269/T$1</f>
        <v>0.00295238095238095</v>
      </c>
      <c r="U269" s="0" t="n">
        <f aca="false">$B269/U$1</f>
        <v>0.00279279279279279</v>
      </c>
      <c r="V269" s="0" t="n">
        <f aca="false">$B269/V$1</f>
        <v>0.00264957264957265</v>
      </c>
      <c r="W269" s="0" t="n">
        <f aca="false">$B269/W$1</f>
        <v>0.00252032520325203</v>
      </c>
      <c r="X269" s="0" t="n">
        <f aca="false">$B269/X$1</f>
        <v>0.0024031007751938</v>
      </c>
      <c r="Y269" s="0" t="n">
        <f aca="false">$B269/Y$1</f>
        <v>0.0022962962962963</v>
      </c>
      <c r="Z269" s="0" t="n">
        <f aca="false">$B269/Z$1</f>
        <v>0.00219858156028369</v>
      </c>
      <c r="AA269" s="0" t="n">
        <f aca="false">$B269/AA$1</f>
        <v>0.00210884353741497</v>
      </c>
      <c r="AB269" s="0" t="n">
        <f aca="false">$B269/AB$1</f>
        <v>0.00202614379084967</v>
      </c>
      <c r="AC269" s="0" t="n">
        <f aca="false">$B269/AC$1</f>
        <v>0.0019496855345912</v>
      </c>
      <c r="AD269" s="0" t="n">
        <f aca="false">$B269/AD$1</f>
        <v>0.00187878787878788</v>
      </c>
      <c r="AE269" s="0" t="n">
        <f aca="false">$B269/AE$1</f>
        <v>0.00181286549707602</v>
      </c>
      <c r="AF269" s="0" t="n">
        <f aca="false">$B269/AF$1</f>
        <v>0.00175141242937853</v>
      </c>
      <c r="AG269" s="0" t="n">
        <f aca="false">$B269/AG$1</f>
        <v>0.00169398907103825</v>
      </c>
      <c r="AH269" s="0" t="n">
        <f aca="false">$B269/AH$1</f>
        <v>0.00164021164021164</v>
      </c>
      <c r="AI269" s="0" t="n">
        <f aca="false">$B269/AI$1</f>
        <v>0.00158974358974359</v>
      </c>
      <c r="AJ269" s="0" t="n">
        <f aca="false">$B269/AJ$1</f>
        <v>0.00154228855721393</v>
      </c>
      <c r="AK269" s="0" t="n">
        <f aca="false">$B269/AK$1</f>
        <v>0.0014975845410628</v>
      </c>
      <c r="AL269" s="0" t="n">
        <f aca="false">$B269/AL$1</f>
        <v>0.00145539906103286</v>
      </c>
      <c r="AM269" s="0" t="n">
        <f aca="false">$B269/AM$1</f>
        <v>0.00141552511415525</v>
      </c>
      <c r="AN269" s="0" t="n">
        <f aca="false">$B269/AN$1</f>
        <v>0.00137777777777778</v>
      </c>
      <c r="AO269" s="0" t="n">
        <f aca="false">$B269/AO$1</f>
        <v>0.00134199134199134</v>
      </c>
      <c r="AP269" s="0" t="n">
        <f aca="false">$B269/AP$1</f>
        <v>0.00130801687763713</v>
      </c>
      <c r="AQ269" s="0" t="n">
        <f aca="false">$B269/AQ$1</f>
        <v>0.00127572016460905</v>
      </c>
      <c r="AR269" s="0" t="n">
        <f aca="false">$B269/AR$1</f>
        <v>0.00124497991967872</v>
      </c>
      <c r="AS269" s="0" t="n">
        <f aca="false">$B269/AS$1</f>
        <v>0.0012156862745098</v>
      </c>
      <c r="AT269" s="0" t="n">
        <f aca="false">$B269/AT$1</f>
        <v>0.00118773946360153</v>
      </c>
      <c r="AU269" s="0" t="n">
        <f aca="false">$B269/AU$1</f>
        <v>0.00116104868913858</v>
      </c>
      <c r="AV269" s="0" t="n">
        <f aca="false">$B269/AV$1</f>
        <v>0.00113553113553114</v>
      </c>
      <c r="AW269" s="0" t="n">
        <f aca="false">$B269/AW$1</f>
        <v>0.00111111111111111</v>
      </c>
      <c r="AX269" s="0" t="n">
        <f aca="false">$B269/AX$1</f>
        <v>0.00108771929824561</v>
      </c>
      <c r="AY269" s="0" t="n">
        <f aca="false">$B269/AY$1</f>
        <v>0.00106529209621993</v>
      </c>
      <c r="AZ269" s="0" t="n">
        <f aca="false">$B269/AZ$1</f>
        <v>0.00104377104377104</v>
      </c>
      <c r="BA269" s="0" t="n">
        <f aca="false">$B269/BA$1</f>
        <v>0.00102310231023102</v>
      </c>
      <c r="BB269" s="0" t="n">
        <f aca="false">$B269/BB$1</f>
        <v>0.00100323624595469</v>
      </c>
      <c r="BC269" s="0" t="n">
        <f aca="false">$B269/BC$1</f>
        <v>0.000984126984126984</v>
      </c>
      <c r="BD269" s="0" t="n">
        <f aca="false">$B269/BD$1</f>
        <v>0.000965732087227414</v>
      </c>
      <c r="BE269" s="0" t="n">
        <f aca="false">$B269/BE$1</f>
        <v>0.000948012232415902</v>
      </c>
      <c r="BF269" s="0" t="n">
        <f aca="false">$B269/BF$1</f>
        <v>0.000930930930930931</v>
      </c>
      <c r="BG269" s="0" t="n">
        <f aca="false">$B269/BG$1</f>
        <v>0.000914454277286136</v>
      </c>
      <c r="BH269" s="0" t="n">
        <f aca="false">$B269/BH$1</f>
        <v>0.000898550724637681</v>
      </c>
      <c r="BI269" s="0" t="n">
        <f aca="false">$B269/BI$1</f>
        <v>0.000883190883190883</v>
      </c>
      <c r="BJ269" s="0" t="n">
        <f aca="false">$B269/BJ$1</f>
        <v>0.000868347338935574</v>
      </c>
      <c r="BL269" s="0" t="n">
        <f aca="false">IF($B$264=1,COUNTIF(C269:BJ269,"&gt;="&amp;$C$264),0)</f>
        <v>13</v>
      </c>
      <c r="BM269" s="0" t="n">
        <f aca="false">IF($B$264=1,IF(OR(BS269&gt;=Settings!$B$5,Settings!$C$18&gt;0),MAX(BL269,Settings!$C$18),0),0)</f>
        <v>13</v>
      </c>
      <c r="BN269" s="0" t="n">
        <f aca="false">IF($B$264=1,IF(OR(BS269&gt;=Settings!$B$5,Settings!$C$18&gt;0),MAX(0,(2*MAX(BL269,Settings!$C$18)+1)*$C$264-BS269),MAX(0,Settings!$B$5-BS269)),"")</f>
        <v>0.00826666666666667</v>
      </c>
      <c r="BO269" s="0" t="n">
        <f aca="false">IF($B$264=1,IF(OR(BS269&gt;=Settings!$B$5,Settings!$C$18&gt;0),IF(BL269&lt;=Settings!$C$18,"Protected by electorates",IF(Settings!$C$18=0,MIN(BS269-(2*BL269-1)*$D$264,BS269-Settings!$B$5),BS269-(2*BL269-1)*$D$264)),""),"")</f>
        <v>0.000112721417069223</v>
      </c>
      <c r="BP269" s="0" t="n">
        <f aca="false">IF($B$264=1,IF(OR(BS269&gt;=Settings!$B$5,Settings!$C$18&gt;0),MAX(0,MIN(1,(BS269/$C$264-(2*MAX(BL269,Settings!$C$18)-1))/2)),MIN(1,BS269/Settings!$B$5)),"")</f>
        <v>0</v>
      </c>
      <c r="BQ269" s="0" t="n">
        <f aca="false">IF(AND($B$264=1,COUNTIF(C269:BJ269,$C$264)&gt;0),1,0)</f>
        <v>1</v>
      </c>
      <c r="BR269" s="0" t="n">
        <f aca="false">IF(AND($B$264=1,COUNTIF(C269:BJ269,$D$264)&gt;0),1,0)</f>
        <v>0</v>
      </c>
      <c r="BS269" s="0" t="n">
        <f aca="false">N(IF(Polls!L35="",Polls!L37,Polls!L35))</f>
        <v>0.103333333333333</v>
      </c>
      <c r="BT269" s="0" t="str">
        <f aca="false">IF(OR(BS269&gt;=Settings!$B$5,Settings!$C$18&gt;0),"Next seat","Threshold")</f>
        <v>Next seat</v>
      </c>
    </row>
    <row r="270" customFormat="false" ht="15" hidden="false" customHeight="false" outlineLevel="0" collapsed="false">
      <c r="A270" s="0" t="s">
        <v>50</v>
      </c>
      <c r="B270" s="0" t="n">
        <f aca="false">IF(OR(BS270&gt;=Settings!$B$5,Settings!$C$19&gt;0),BS270,0)</f>
        <v>0.0145</v>
      </c>
      <c r="C270" s="0" t="n">
        <f aca="false">$B270/C$1</f>
        <v>0.0145</v>
      </c>
      <c r="D270" s="0" t="n">
        <f aca="false">$B270/D$1</f>
        <v>0.00483333333333333</v>
      </c>
      <c r="E270" s="0" t="n">
        <f aca="false">$B270/E$1</f>
        <v>0.0029</v>
      </c>
      <c r="F270" s="0" t="n">
        <f aca="false">$B270/F$1</f>
        <v>0.00207142857142857</v>
      </c>
      <c r="G270" s="0" t="n">
        <f aca="false">$B270/G$1</f>
        <v>0.00161111111111111</v>
      </c>
      <c r="H270" s="0" t="n">
        <f aca="false">$B270/H$1</f>
        <v>0.00131818181818182</v>
      </c>
      <c r="I270" s="0" t="n">
        <f aca="false">$B270/I$1</f>
        <v>0.00111538461538462</v>
      </c>
      <c r="J270" s="0" t="n">
        <f aca="false">$B270/J$1</f>
        <v>0.000966666666666667</v>
      </c>
      <c r="K270" s="0" t="n">
        <f aca="false">$B270/K$1</f>
        <v>0.000852941176470588</v>
      </c>
      <c r="L270" s="0" t="n">
        <f aca="false">$B270/L$1</f>
        <v>0.000763157894736842</v>
      </c>
      <c r="M270" s="0" t="n">
        <f aca="false">$B270/M$1</f>
        <v>0.000690476190476191</v>
      </c>
      <c r="N270" s="0" t="n">
        <f aca="false">$B270/N$1</f>
        <v>0.000630434782608696</v>
      </c>
      <c r="O270" s="0" t="n">
        <f aca="false">$B270/O$1</f>
        <v>0.00058</v>
      </c>
      <c r="P270" s="0" t="n">
        <f aca="false">$B270/P$1</f>
        <v>0.000537037037037037</v>
      </c>
      <c r="Q270" s="0" t="n">
        <f aca="false">$B270/Q$1</f>
        <v>0.0005</v>
      </c>
      <c r="R270" s="0" t="n">
        <f aca="false">$B270/R$1</f>
        <v>0.000467741935483871</v>
      </c>
      <c r="S270" s="0" t="n">
        <f aca="false">$B270/S$1</f>
        <v>0.000439393939393939</v>
      </c>
      <c r="T270" s="0" t="n">
        <f aca="false">$B270/T$1</f>
        <v>0.000414285714285714</v>
      </c>
      <c r="U270" s="0" t="n">
        <f aca="false">$B270/U$1</f>
        <v>0.000391891891891892</v>
      </c>
      <c r="V270" s="0" t="n">
        <f aca="false">$B270/V$1</f>
        <v>0.000371794871794872</v>
      </c>
      <c r="W270" s="0" t="n">
        <f aca="false">$B270/W$1</f>
        <v>0.000353658536585366</v>
      </c>
      <c r="X270" s="0" t="n">
        <f aca="false">$B270/X$1</f>
        <v>0.000337209302325581</v>
      </c>
      <c r="Y270" s="0" t="n">
        <f aca="false">$B270/Y$1</f>
        <v>0.000322222222222222</v>
      </c>
      <c r="Z270" s="0" t="n">
        <f aca="false">$B270/Z$1</f>
        <v>0.000308510638297872</v>
      </c>
      <c r="AA270" s="0" t="n">
        <f aca="false">$B270/AA$1</f>
        <v>0.000295918367346939</v>
      </c>
      <c r="AB270" s="0" t="n">
        <f aca="false">$B270/AB$1</f>
        <v>0.000284313725490196</v>
      </c>
      <c r="AC270" s="0" t="n">
        <f aca="false">$B270/AC$1</f>
        <v>0.000273584905660377</v>
      </c>
      <c r="AD270" s="0" t="n">
        <f aca="false">$B270/AD$1</f>
        <v>0.000263636363636364</v>
      </c>
      <c r="AE270" s="0" t="n">
        <f aca="false">$B270/AE$1</f>
        <v>0.000254385964912281</v>
      </c>
      <c r="AF270" s="0" t="n">
        <f aca="false">$B270/AF$1</f>
        <v>0.000245762711864407</v>
      </c>
      <c r="AG270" s="0" t="n">
        <f aca="false">$B270/AG$1</f>
        <v>0.000237704918032787</v>
      </c>
      <c r="AH270" s="0" t="n">
        <f aca="false">$B270/AH$1</f>
        <v>0.00023015873015873</v>
      </c>
      <c r="AI270" s="0" t="n">
        <f aca="false">$B270/AI$1</f>
        <v>0.000223076923076923</v>
      </c>
      <c r="AJ270" s="0" t="n">
        <f aca="false">$B270/AJ$1</f>
        <v>0.000216417910447761</v>
      </c>
      <c r="AK270" s="0" t="n">
        <f aca="false">$B270/AK$1</f>
        <v>0.000210144927536232</v>
      </c>
      <c r="AL270" s="0" t="n">
        <f aca="false">$B270/AL$1</f>
        <v>0.000204225352112676</v>
      </c>
      <c r="AM270" s="0" t="n">
        <f aca="false">$B270/AM$1</f>
        <v>0.000198630136986301</v>
      </c>
      <c r="AN270" s="0" t="n">
        <f aca="false">$B270/AN$1</f>
        <v>0.000193333333333333</v>
      </c>
      <c r="AO270" s="0" t="n">
        <f aca="false">$B270/AO$1</f>
        <v>0.000188311688311688</v>
      </c>
      <c r="AP270" s="0" t="n">
        <f aca="false">$B270/AP$1</f>
        <v>0.000183544303797468</v>
      </c>
      <c r="AQ270" s="0" t="n">
        <f aca="false">$B270/AQ$1</f>
        <v>0.000179012345679012</v>
      </c>
      <c r="AR270" s="0" t="n">
        <f aca="false">$B270/AR$1</f>
        <v>0.000174698795180723</v>
      </c>
      <c r="AS270" s="0" t="n">
        <f aca="false">$B270/AS$1</f>
        <v>0.000170588235294118</v>
      </c>
      <c r="AT270" s="0" t="n">
        <f aca="false">$B270/AT$1</f>
        <v>0.000166666666666667</v>
      </c>
      <c r="AU270" s="0" t="n">
        <f aca="false">$B270/AU$1</f>
        <v>0.000162921348314607</v>
      </c>
      <c r="AV270" s="0" t="n">
        <f aca="false">$B270/AV$1</f>
        <v>0.000159340659340659</v>
      </c>
      <c r="AW270" s="0" t="n">
        <f aca="false">$B270/AW$1</f>
        <v>0.000155913978494624</v>
      </c>
      <c r="AX270" s="0" t="n">
        <f aca="false">$B270/AX$1</f>
        <v>0.000152631578947368</v>
      </c>
      <c r="AY270" s="0" t="n">
        <f aca="false">$B270/AY$1</f>
        <v>0.000149484536082474</v>
      </c>
      <c r="AZ270" s="0" t="n">
        <f aca="false">$B270/AZ$1</f>
        <v>0.000146464646464646</v>
      </c>
      <c r="BA270" s="0" t="n">
        <f aca="false">$B270/BA$1</f>
        <v>0.000143564356435644</v>
      </c>
      <c r="BB270" s="0" t="n">
        <f aca="false">$B270/BB$1</f>
        <v>0.000140776699029126</v>
      </c>
      <c r="BC270" s="0" t="n">
        <f aca="false">$B270/BC$1</f>
        <v>0.000138095238095238</v>
      </c>
      <c r="BD270" s="0" t="n">
        <f aca="false">$B270/BD$1</f>
        <v>0.000135514018691589</v>
      </c>
      <c r="BE270" s="0" t="n">
        <f aca="false">$B270/BE$1</f>
        <v>0.00013302752293578</v>
      </c>
      <c r="BF270" s="0" t="n">
        <f aca="false">$B270/BF$1</f>
        <v>0.000130630630630631</v>
      </c>
      <c r="BG270" s="0" t="n">
        <f aca="false">$B270/BG$1</f>
        <v>0.000128318584070796</v>
      </c>
      <c r="BH270" s="0" t="n">
        <f aca="false">$B270/BH$1</f>
        <v>0.000126086956521739</v>
      </c>
      <c r="BI270" s="0" t="n">
        <f aca="false">$B270/BI$1</f>
        <v>0.000123931623931624</v>
      </c>
      <c r="BJ270" s="0" t="n">
        <f aca="false">$B270/BJ$1</f>
        <v>0.000121848739495798</v>
      </c>
      <c r="BL270" s="0" t="n">
        <f aca="false">IF($B$264=1,COUNTIF(C270:BJ270,"&gt;="&amp;$C$264),0)</f>
        <v>2</v>
      </c>
      <c r="BM270" s="0" t="n">
        <f aca="false">IF($B$264=1,IF(OR(BS270&gt;=Settings!$B$5,Settings!$C$19&gt;0),MAX(BL270,Settings!$C$19),0),0)</f>
        <v>4</v>
      </c>
      <c r="BN270" s="0" t="n">
        <f aca="false">IF($B$264=1,IF(OR(BS270&gt;=Settings!$B$5,Settings!$C$19&gt;0),MAX(0,(2*MAX(BL270,Settings!$C$19)+1)*$C$264-BS270),MAX(0,Settings!$B$5-BS270)),"")</f>
        <v>0.0227</v>
      </c>
      <c r="BO270" s="0" t="str">
        <f aca="false">IF($B$264=1,IF(OR(BS270&gt;=Settings!$B$5,Settings!$C$19&gt;0),IF(BL270&lt;=Settings!$C$19,"Protected by electorates",IF(Settings!$C$19=0,MIN(BS270-(2*BL270-1)*$D$264,BS270-Settings!$B$5),BS270-(2*BL270-1)*$D$264)),""),"")</f>
        <v>Protected by electorates</v>
      </c>
      <c r="BP270" s="0" t="n">
        <f aca="false">IF($B$264=1,IF(OR(BS270&gt;=Settings!$B$5,Settings!$C$19&gt;0),MAX(0,MIN(1,(BS270/$C$264-(2*MAX(BL270,Settings!$C$19)-1))/2)),MIN(1,BS270/Settings!$B$5)),"")</f>
        <v>0</v>
      </c>
      <c r="BQ270" s="0" t="n">
        <f aca="false">IF(AND($B$264=1,COUNTIF(C270:BJ270,$C$264)&gt;0),1,0)</f>
        <v>0</v>
      </c>
      <c r="BR270" s="0" t="n">
        <f aca="false">IF(AND($B$264=1,COUNTIF(C270:BJ270,$D$264)&gt;0),1,0)</f>
        <v>0</v>
      </c>
      <c r="BS270" s="0" t="n">
        <f aca="false">N(IF(Polls!M35="",Polls!M37,Polls!M35))</f>
        <v>0.0145</v>
      </c>
      <c r="BT270" s="0" t="str">
        <f aca="false">IF(OR(BS270&gt;=Settings!$B$5,Settings!$C$19&gt;0),"Next seat","Threshold")</f>
        <v>Next seat</v>
      </c>
    </row>
    <row r="271" customFormat="false" ht="15" hidden="false" customHeight="false" outlineLevel="0" collapsed="false">
      <c r="A271" s="0" t="s">
        <v>52</v>
      </c>
      <c r="B271" s="0" t="n">
        <f aca="false">IF(OR(BS271&gt;=Settings!$B$5,Settings!$C$20&gt;0),BS271,0)</f>
        <v>0.0614444444444445</v>
      </c>
      <c r="C271" s="0" t="n">
        <f aca="false">$B271/C$1</f>
        <v>0.0614444444444445</v>
      </c>
      <c r="D271" s="0" t="n">
        <f aca="false">$B271/D$1</f>
        <v>0.0204814814814815</v>
      </c>
      <c r="E271" s="0" t="n">
        <f aca="false">$B271/E$1</f>
        <v>0.0122888888888889</v>
      </c>
      <c r="F271" s="0" t="n">
        <f aca="false">$B271/F$1</f>
        <v>0.00877777777777778</v>
      </c>
      <c r="G271" s="0" t="n">
        <f aca="false">$B271/G$1</f>
        <v>0.00682716049382716</v>
      </c>
      <c r="H271" s="0" t="n">
        <f aca="false">$B271/H$1</f>
        <v>0.00558585858585859</v>
      </c>
      <c r="I271" s="0" t="n">
        <f aca="false">$B271/I$1</f>
        <v>0.00472649572649573</v>
      </c>
      <c r="J271" s="0" t="n">
        <f aca="false">$B271/J$1</f>
        <v>0.0040962962962963</v>
      </c>
      <c r="K271" s="0" t="n">
        <f aca="false">$B271/K$1</f>
        <v>0.00361437908496732</v>
      </c>
      <c r="L271" s="0" t="n">
        <f aca="false">$B271/L$1</f>
        <v>0.00323391812865497</v>
      </c>
      <c r="M271" s="0" t="n">
        <f aca="false">$B271/M$1</f>
        <v>0.00292592592592593</v>
      </c>
      <c r="N271" s="0" t="n">
        <f aca="false">$B271/N$1</f>
        <v>0.00267149758454106</v>
      </c>
      <c r="O271" s="0" t="n">
        <f aca="false">$B271/O$1</f>
        <v>0.00245777777777778</v>
      </c>
      <c r="P271" s="0" t="n">
        <f aca="false">$B271/P$1</f>
        <v>0.00227572016460905</v>
      </c>
      <c r="Q271" s="0" t="n">
        <f aca="false">$B271/Q$1</f>
        <v>0.00211877394636015</v>
      </c>
      <c r="R271" s="0" t="n">
        <f aca="false">$B271/R$1</f>
        <v>0.0019820788530466</v>
      </c>
      <c r="S271" s="0" t="n">
        <f aca="false">$B271/S$1</f>
        <v>0.00186195286195286</v>
      </c>
      <c r="T271" s="0" t="n">
        <f aca="false">$B271/T$1</f>
        <v>0.00175555555555556</v>
      </c>
      <c r="U271" s="0" t="n">
        <f aca="false">$B271/U$1</f>
        <v>0.00166066066066066</v>
      </c>
      <c r="V271" s="0" t="n">
        <f aca="false">$B271/V$1</f>
        <v>0.00157549857549858</v>
      </c>
      <c r="W271" s="0" t="n">
        <f aca="false">$B271/W$1</f>
        <v>0.00149864498644986</v>
      </c>
      <c r="X271" s="0" t="n">
        <f aca="false">$B271/X$1</f>
        <v>0.00142894056847545</v>
      </c>
      <c r="Y271" s="0" t="n">
        <f aca="false">$B271/Y$1</f>
        <v>0.00136543209876543</v>
      </c>
      <c r="Z271" s="0" t="n">
        <f aca="false">$B271/Z$1</f>
        <v>0.00130732860520095</v>
      </c>
      <c r="AA271" s="0" t="n">
        <f aca="false">$B271/AA$1</f>
        <v>0.00125396825396825</v>
      </c>
      <c r="AB271" s="0" t="n">
        <f aca="false">$B271/AB$1</f>
        <v>0.00120479302832244</v>
      </c>
      <c r="AC271" s="0" t="n">
        <f aca="false">$B271/AC$1</f>
        <v>0.00115932914046122</v>
      </c>
      <c r="AD271" s="0" t="n">
        <f aca="false">$B271/AD$1</f>
        <v>0.00111717171717172</v>
      </c>
      <c r="AE271" s="0" t="n">
        <f aca="false">$B271/AE$1</f>
        <v>0.00107797270955166</v>
      </c>
      <c r="AF271" s="0" t="n">
        <f aca="false">$B271/AF$1</f>
        <v>0.00104143126177024</v>
      </c>
      <c r="AG271" s="0" t="n">
        <f aca="false">$B271/AG$1</f>
        <v>0.00100728597449909</v>
      </c>
      <c r="AH271" s="0" t="n">
        <f aca="false">$B271/AH$1</f>
        <v>0.000975308641975309</v>
      </c>
      <c r="AI271" s="0" t="n">
        <f aca="false">$B271/AI$1</f>
        <v>0.000945299145299145</v>
      </c>
      <c r="AJ271" s="0" t="n">
        <f aca="false">$B271/AJ$1</f>
        <v>0.000917081260364843</v>
      </c>
      <c r="AK271" s="0" t="n">
        <f aca="false">$B271/AK$1</f>
        <v>0.000890499194847021</v>
      </c>
      <c r="AL271" s="0" t="n">
        <f aca="false">$B271/AL$1</f>
        <v>0.000865414710485133</v>
      </c>
      <c r="AM271" s="0" t="n">
        <f aca="false">$B271/AM$1</f>
        <v>0.000841704718417047</v>
      </c>
      <c r="AN271" s="0" t="n">
        <f aca="false">$B271/AN$1</f>
        <v>0.000819259259259259</v>
      </c>
      <c r="AO271" s="0" t="n">
        <f aca="false">$B271/AO$1</f>
        <v>0.000797979797979798</v>
      </c>
      <c r="AP271" s="0" t="n">
        <f aca="false">$B271/AP$1</f>
        <v>0.000777777777777778</v>
      </c>
      <c r="AQ271" s="0" t="n">
        <f aca="false">$B271/AQ$1</f>
        <v>0.000758573388203018</v>
      </c>
      <c r="AR271" s="0" t="n">
        <f aca="false">$B271/AR$1</f>
        <v>0.000740294511378849</v>
      </c>
      <c r="AS271" s="0" t="n">
        <f aca="false">$B271/AS$1</f>
        <v>0.000722875816993464</v>
      </c>
      <c r="AT271" s="0" t="n">
        <f aca="false">$B271/AT$1</f>
        <v>0.000706257982120051</v>
      </c>
      <c r="AU271" s="0" t="n">
        <f aca="false">$B271/AU$1</f>
        <v>0.000690387016229713</v>
      </c>
      <c r="AV271" s="0" t="n">
        <f aca="false">$B271/AV$1</f>
        <v>0.000675213675213675</v>
      </c>
      <c r="AW271" s="0" t="n">
        <f aca="false">$B271/AW$1</f>
        <v>0.000660692951015532</v>
      </c>
      <c r="AX271" s="0" t="n">
        <f aca="false">$B271/AX$1</f>
        <v>0.000646783625730994</v>
      </c>
      <c r="AY271" s="0" t="n">
        <f aca="false">$B271/AY$1</f>
        <v>0.000633447880870561</v>
      </c>
      <c r="AZ271" s="0" t="n">
        <f aca="false">$B271/AZ$1</f>
        <v>0.000620650953984287</v>
      </c>
      <c r="BA271" s="0" t="n">
        <f aca="false">$B271/BA$1</f>
        <v>0.000608360836083608</v>
      </c>
      <c r="BB271" s="0" t="n">
        <f aca="false">$B271/BB$1</f>
        <v>0.000596548004314995</v>
      </c>
      <c r="BC271" s="0" t="n">
        <f aca="false">$B271/BC$1</f>
        <v>0.000585185185185185</v>
      </c>
      <c r="BD271" s="0" t="n">
        <f aca="false">$B271/BD$1</f>
        <v>0.000574247144340602</v>
      </c>
      <c r="BE271" s="0" t="n">
        <f aca="false">$B271/BE$1</f>
        <v>0.000563710499490316</v>
      </c>
      <c r="BF271" s="0" t="n">
        <f aca="false">$B271/BF$1</f>
        <v>0.000553553553553554</v>
      </c>
      <c r="BG271" s="0" t="n">
        <f aca="false">$B271/BG$1</f>
        <v>0.000543756145526057</v>
      </c>
      <c r="BH271" s="0" t="n">
        <f aca="false">$B271/BH$1</f>
        <v>0.000534299516908213</v>
      </c>
      <c r="BI271" s="0" t="n">
        <f aca="false">$B271/BI$1</f>
        <v>0.000525166191832859</v>
      </c>
      <c r="BJ271" s="0" t="n">
        <f aca="false">$B271/BJ$1</f>
        <v>0.000516339869281046</v>
      </c>
      <c r="BL271" s="0" t="n">
        <f aca="false">IF($B$264=1,COUNTIF(C271:BJ271,"&gt;="&amp;$C$264),0)</f>
        <v>7</v>
      </c>
      <c r="BM271" s="0" t="n">
        <f aca="false">IF($B$264=1,IF(OR(BS271&gt;=Settings!$B$5,Settings!$C$20&gt;0),MAX(BL271,Settings!$C$20),0),0)</f>
        <v>7</v>
      </c>
      <c r="BN271" s="0" t="n">
        <f aca="false">IF($B$264=1,IF(OR(BS271&gt;=Settings!$B$5,Settings!$C$20&gt;0),MAX(0,(2*MAX(BL271,Settings!$C$20)+1)*$C$264-BS271),MAX(0,Settings!$B$5-BS271)),"")</f>
        <v>0.000555555555555552</v>
      </c>
      <c r="BO271" s="0" t="n">
        <f aca="false">IF($B$264=1,IF(OR(BS271&gt;=Settings!$B$5,Settings!$C$20&gt;0),IF(BL271&lt;=Settings!$C$20,"Protected by electorates",IF(Settings!$C$20=0,MIN(BS271-(2*BL271-1)*$D$264,BS271-Settings!$B$5),BS271-(2*BL271-1)*$D$264)),""),"")</f>
        <v>0.00776972624798712</v>
      </c>
      <c r="BP271" s="0" t="n">
        <f aca="false">IF($B$264=1,IF(OR(BS271&gt;=Settings!$B$5,Settings!$C$20&gt;0),MAX(0,MIN(1,(BS271/$C$264-(2*MAX(BL271,Settings!$C$20)-1))/2)),MIN(1,BS271/Settings!$B$5)),"")</f>
        <v>0.932795698924731</v>
      </c>
      <c r="BQ271" s="0" t="n">
        <f aca="false">IF(AND($B$264=1,COUNTIF(C271:BJ271,$C$264)&gt;0),1,0)</f>
        <v>0</v>
      </c>
      <c r="BR271" s="0" t="n">
        <f aca="false">IF(AND($B$264=1,COUNTIF(C271:BJ271,$D$264)&gt;0),1,0)</f>
        <v>0</v>
      </c>
      <c r="BS271" s="0" t="n">
        <f aca="false">N(IF(Polls!N35="",Polls!N37,Polls!N35))</f>
        <v>0.0614444444444445</v>
      </c>
      <c r="BT271" s="0" t="str">
        <f aca="false">IF(OR(BS271&gt;=Settings!$B$5,Settings!$C$20&gt;0),"Next seat","Threshold")</f>
        <v>Next seat</v>
      </c>
    </row>
    <row r="273" customFormat="false" ht="15" hidden="false" customHeight="false" outlineLevel="0" collapsed="false">
      <c r="A273" s="41" t="s">
        <v>21</v>
      </c>
      <c r="B273" s="17" t="n">
        <f aca="false">IF(SUM(BS274:BS280)&gt;0,1,0)</f>
        <v>1</v>
      </c>
      <c r="C273" s="17" t="n">
        <f aca="false">IF(B273=1,LARGE(C274:BJ280,Settings!$B$4),0)</f>
        <v>0.00413333333333333</v>
      </c>
      <c r="D273" s="17" t="n">
        <f aca="false">IF(B273=1,LARGE(C274:BJ280,Settings!$B$4+1),0)</f>
        <v>0.00412882447665056</v>
      </c>
      <c r="E273" s="0" t="str">
        <f aca="false">IF(B273=1,IFERROR(INDEX(A274:A280,MATCH(1,BQ274:BQ280,0)),""),"")</f>
        <v>NZF</v>
      </c>
      <c r="F273" s="0" t="str">
        <f aca="false">IF(B273=1,IFERROR(INDEX(A274:A280,MATCH(1,BR274:BR280,0)),""),"")</f>
        <v>NAT</v>
      </c>
      <c r="G273" s="17" t="n">
        <f aca="false">IF(B273=1,SUM(BM274:BM280)+Settings!$B$10,"")</f>
        <v>122</v>
      </c>
    </row>
    <row r="274" customFormat="false" ht="15" hidden="false" customHeight="false" outlineLevel="0" collapsed="false">
      <c r="A274" s="0" t="s">
        <v>41</v>
      </c>
      <c r="B274" s="0" t="n">
        <f aca="false">IF(OR(BS274&gt;=Settings!$B$5,Settings!$C$14&gt;0),BS274,0)</f>
        <v>0.284888888888889</v>
      </c>
      <c r="C274" s="0" t="n">
        <f aca="false">$B274/C$1</f>
        <v>0.284888888888889</v>
      </c>
      <c r="D274" s="0" t="n">
        <f aca="false">$B274/D$1</f>
        <v>0.094962962962963</v>
      </c>
      <c r="E274" s="0" t="n">
        <f aca="false">$B274/E$1</f>
        <v>0.0569777777777778</v>
      </c>
      <c r="F274" s="0" t="n">
        <f aca="false">$B274/F$1</f>
        <v>0.0406984126984127</v>
      </c>
      <c r="G274" s="0" t="n">
        <f aca="false">$B274/G$1</f>
        <v>0.0316543209876543</v>
      </c>
      <c r="H274" s="0" t="n">
        <f aca="false">$B274/H$1</f>
        <v>0.0258989898989899</v>
      </c>
      <c r="I274" s="0" t="n">
        <f aca="false">$B274/I$1</f>
        <v>0.0219145299145299</v>
      </c>
      <c r="J274" s="0" t="n">
        <f aca="false">$B274/J$1</f>
        <v>0.0189925925925926</v>
      </c>
      <c r="K274" s="0" t="n">
        <f aca="false">$B274/K$1</f>
        <v>0.0167581699346405</v>
      </c>
      <c r="L274" s="0" t="n">
        <f aca="false">$B274/L$1</f>
        <v>0.0149941520467836</v>
      </c>
      <c r="M274" s="0" t="n">
        <f aca="false">$B274/M$1</f>
        <v>0.0135661375661376</v>
      </c>
      <c r="N274" s="0" t="n">
        <f aca="false">$B274/N$1</f>
        <v>0.0123864734299517</v>
      </c>
      <c r="O274" s="0" t="n">
        <f aca="false">$B274/O$1</f>
        <v>0.0113955555555556</v>
      </c>
      <c r="P274" s="0" t="n">
        <f aca="false">$B274/P$1</f>
        <v>0.0105514403292181</v>
      </c>
      <c r="Q274" s="0" t="n">
        <f aca="false">$B274/Q$1</f>
        <v>0.00982375478927203</v>
      </c>
      <c r="R274" s="0" t="n">
        <f aca="false">$B274/R$1</f>
        <v>0.0091899641577061</v>
      </c>
      <c r="S274" s="0" t="n">
        <f aca="false">$B274/S$1</f>
        <v>0.00863299663299663</v>
      </c>
      <c r="T274" s="0" t="n">
        <f aca="false">$B274/T$1</f>
        <v>0.00813968253968254</v>
      </c>
      <c r="U274" s="0" t="n">
        <f aca="false">$B274/U$1</f>
        <v>0.0076996996996997</v>
      </c>
      <c r="V274" s="0" t="n">
        <f aca="false">$B274/V$1</f>
        <v>0.00730484330484331</v>
      </c>
      <c r="W274" s="0" t="n">
        <f aca="false">$B274/W$1</f>
        <v>0.00694850948509485</v>
      </c>
      <c r="X274" s="0" t="n">
        <f aca="false">$B274/X$1</f>
        <v>0.00662532299741602</v>
      </c>
      <c r="Y274" s="0" t="n">
        <f aca="false">$B274/Y$1</f>
        <v>0.00633086419753086</v>
      </c>
      <c r="Z274" s="0" t="n">
        <f aca="false">$B274/Z$1</f>
        <v>0.00606146572104019</v>
      </c>
      <c r="AA274" s="0" t="n">
        <f aca="false">$B274/AA$1</f>
        <v>0.0058140589569161</v>
      </c>
      <c r="AB274" s="0" t="n">
        <f aca="false">$B274/AB$1</f>
        <v>0.00558605664488018</v>
      </c>
      <c r="AC274" s="0" t="n">
        <f aca="false">$B274/AC$1</f>
        <v>0.00537526205450734</v>
      </c>
      <c r="AD274" s="0" t="n">
        <f aca="false">$B274/AD$1</f>
        <v>0.00517979797979798</v>
      </c>
      <c r="AE274" s="0" t="n">
        <f aca="false">$B274/AE$1</f>
        <v>0.00499805068226121</v>
      </c>
      <c r="AF274" s="0" t="n">
        <f aca="false">$B274/AF$1</f>
        <v>0.0048286252354049</v>
      </c>
      <c r="AG274" s="0" t="n">
        <f aca="false">$B274/AG$1</f>
        <v>0.00467030965391621</v>
      </c>
      <c r="AH274" s="0" t="n">
        <f aca="false">$B274/AH$1</f>
        <v>0.00452204585537919</v>
      </c>
      <c r="AI274" s="0" t="n">
        <f aca="false">$B274/AI$1</f>
        <v>0.00438290598290598</v>
      </c>
      <c r="AJ274" s="0" t="n">
        <f aca="false">$B274/AJ$1</f>
        <v>0.00425207296849088</v>
      </c>
      <c r="AK274" s="0" t="n">
        <f aca="false">$B274/AK$1</f>
        <v>0.00412882447665056</v>
      </c>
      <c r="AL274" s="0" t="n">
        <f aca="false">$B274/AL$1</f>
        <v>0.00401251956181534</v>
      </c>
      <c r="AM274" s="0" t="n">
        <f aca="false">$B274/AM$1</f>
        <v>0.00390258751902588</v>
      </c>
      <c r="AN274" s="0" t="n">
        <f aca="false">$B274/AN$1</f>
        <v>0.00379851851851852</v>
      </c>
      <c r="AO274" s="0" t="n">
        <f aca="false">$B274/AO$1</f>
        <v>0.0036998556998557</v>
      </c>
      <c r="AP274" s="0" t="n">
        <f aca="false">$B274/AP$1</f>
        <v>0.00360618846694796</v>
      </c>
      <c r="AQ274" s="0" t="n">
        <f aca="false">$B274/AQ$1</f>
        <v>0.00351714677640604</v>
      </c>
      <c r="AR274" s="0" t="n">
        <f aca="false">$B274/AR$1</f>
        <v>0.00343239625167336</v>
      </c>
      <c r="AS274" s="0" t="n">
        <f aca="false">$B274/AS$1</f>
        <v>0.00335163398692811</v>
      </c>
      <c r="AT274" s="0" t="n">
        <f aca="false">$B274/AT$1</f>
        <v>0.00327458492975734</v>
      </c>
      <c r="AU274" s="0" t="n">
        <f aca="false">$B274/AU$1</f>
        <v>0.00320099875156055</v>
      </c>
      <c r="AV274" s="0" t="n">
        <f aca="false">$B274/AV$1</f>
        <v>0.00313064713064713</v>
      </c>
      <c r="AW274" s="0" t="n">
        <f aca="false">$B274/AW$1</f>
        <v>0.00306332138590203</v>
      </c>
      <c r="AX274" s="0" t="n">
        <f aca="false">$B274/AX$1</f>
        <v>0.00299883040935673</v>
      </c>
      <c r="AY274" s="0" t="n">
        <f aca="false">$B274/AY$1</f>
        <v>0.00293699885452463</v>
      </c>
      <c r="AZ274" s="0" t="n">
        <f aca="false">$B274/AZ$1</f>
        <v>0.00287766554433221</v>
      </c>
      <c r="BA274" s="0" t="n">
        <f aca="false">$B274/BA$1</f>
        <v>0.00282068206820682</v>
      </c>
      <c r="BB274" s="0" t="n">
        <f aca="false">$B274/BB$1</f>
        <v>0.00276591154261057</v>
      </c>
      <c r="BC274" s="0" t="n">
        <f aca="false">$B274/BC$1</f>
        <v>0.00271322751322751</v>
      </c>
      <c r="BD274" s="0" t="n">
        <f aca="false">$B274/BD$1</f>
        <v>0.00266251298026999</v>
      </c>
      <c r="BE274" s="0" t="n">
        <f aca="false">$B274/BE$1</f>
        <v>0.00261365953109072</v>
      </c>
      <c r="BF274" s="0" t="n">
        <f aca="false">$B274/BF$1</f>
        <v>0.00256656656656657</v>
      </c>
      <c r="BG274" s="0" t="n">
        <f aca="false">$B274/BG$1</f>
        <v>0.00252114060963619</v>
      </c>
      <c r="BH274" s="0" t="n">
        <f aca="false">$B274/BH$1</f>
        <v>0.00247729468599034</v>
      </c>
      <c r="BI274" s="0" t="n">
        <f aca="false">$B274/BI$1</f>
        <v>0.0024349477682811</v>
      </c>
      <c r="BJ274" s="0" t="n">
        <f aca="false">$B274/BJ$1</f>
        <v>0.00239402427637722</v>
      </c>
      <c r="BL274" s="0" t="n">
        <f aca="false">IF($B$273=1,COUNTIF(C274:BJ274,"&gt;="&amp;$C$273),0)</f>
        <v>34</v>
      </c>
      <c r="BM274" s="0" t="n">
        <f aca="false">IF($B$273=1,IF(OR(BS274&gt;=Settings!$B$5,Settings!$C$14&gt;0),MAX(BL274,Settings!$C$14),0),0)</f>
        <v>34</v>
      </c>
      <c r="BN274" s="0" t="n">
        <f aca="false">IF($B$273=1,IF(OR(BS274&gt;=Settings!$B$5,Settings!$C$14&gt;0),MAX(0,(2*MAX(BL274,Settings!$C$14)+1)*$C$273-BS274),MAX(0,Settings!$B$5-BS274)),"")</f>
        <v>0.000311111111111095</v>
      </c>
      <c r="BO274" s="0" t="n">
        <f aca="false">IF($B$273=1,IF(OR(BS274&gt;=Settings!$B$5,Settings!$C$14&gt;0),IF(BL274&lt;=Settings!$C$14,"Protected by electorates",IF(Settings!$C$14=0,MIN(BS274-(2*BL274-1)*$D$273,BS274-Settings!$B$5),BS274-(2*BL274-1)*$D$273)),""),"")</f>
        <v>0.00825764895330111</v>
      </c>
      <c r="BP274" s="0" t="n">
        <f aca="false">IF($B$273=1,IF(OR(BS274&gt;=Settings!$B$5,Settings!$C$14&gt;0),MAX(0,MIN(1,(BS274/$C$273-(2*MAX(BL274,Settings!$C$14)-1))/2)),MIN(1,BS274/Settings!$B$5)),"")</f>
        <v>0.962365591397848</v>
      </c>
      <c r="BQ274" s="0" t="n">
        <f aca="false">IF(AND($B$273=1,COUNTIF(C274:BJ274,$C$273)&gt;0),1,0)</f>
        <v>0</v>
      </c>
      <c r="BR274" s="0" t="n">
        <f aca="false">IF(AND($B$273=1,COUNTIF(C274:BJ274,$D$273)&gt;0),1,0)</f>
        <v>1</v>
      </c>
      <c r="BS274" s="0" t="n">
        <f aca="false">N(Polls!H37)</f>
        <v>0.284888888888889</v>
      </c>
      <c r="BT274" s="0" t="str">
        <f aca="false">IF(OR(BS274&gt;=Settings!$B$5,Settings!$C$14&gt;0),"Next seat","Threshold")</f>
        <v>Next seat</v>
      </c>
    </row>
    <row r="275" customFormat="false" ht="15" hidden="false" customHeight="false" outlineLevel="0" collapsed="false">
      <c r="A275" s="0" t="s">
        <v>43</v>
      </c>
      <c r="B275" s="0" t="n">
        <f aca="false">IF(OR(BS275&gt;=Settings!$B$5,Settings!$C$15&gt;0),BS275,0)</f>
        <v>0.279333333333333</v>
      </c>
      <c r="C275" s="0" t="n">
        <f aca="false">$B275/C$1</f>
        <v>0.279333333333333</v>
      </c>
      <c r="D275" s="0" t="n">
        <f aca="false">$B275/D$1</f>
        <v>0.0931111111111111</v>
      </c>
      <c r="E275" s="0" t="n">
        <f aca="false">$B275/E$1</f>
        <v>0.0558666666666667</v>
      </c>
      <c r="F275" s="0" t="n">
        <f aca="false">$B275/F$1</f>
        <v>0.0399047619047619</v>
      </c>
      <c r="G275" s="0" t="n">
        <f aca="false">$B275/G$1</f>
        <v>0.031037037037037</v>
      </c>
      <c r="H275" s="0" t="n">
        <f aca="false">$B275/H$1</f>
        <v>0.0253939393939394</v>
      </c>
      <c r="I275" s="0" t="n">
        <f aca="false">$B275/I$1</f>
        <v>0.0214871794871795</v>
      </c>
      <c r="J275" s="0" t="n">
        <f aca="false">$B275/J$1</f>
        <v>0.0186222222222222</v>
      </c>
      <c r="K275" s="0" t="n">
        <f aca="false">$B275/K$1</f>
        <v>0.0164313725490196</v>
      </c>
      <c r="L275" s="0" t="n">
        <f aca="false">$B275/L$1</f>
        <v>0.0147017543859649</v>
      </c>
      <c r="M275" s="0" t="n">
        <f aca="false">$B275/M$1</f>
        <v>0.0133015873015873</v>
      </c>
      <c r="N275" s="0" t="n">
        <f aca="false">$B275/N$1</f>
        <v>0.0121449275362319</v>
      </c>
      <c r="O275" s="0" t="n">
        <f aca="false">$B275/O$1</f>
        <v>0.0111733333333333</v>
      </c>
      <c r="P275" s="0" t="n">
        <f aca="false">$B275/P$1</f>
        <v>0.0103456790123457</v>
      </c>
      <c r="Q275" s="0" t="n">
        <f aca="false">$B275/Q$1</f>
        <v>0.00963218390804598</v>
      </c>
      <c r="R275" s="0" t="n">
        <f aca="false">$B275/R$1</f>
        <v>0.00901075268817204</v>
      </c>
      <c r="S275" s="0" t="n">
        <f aca="false">$B275/S$1</f>
        <v>0.00846464646464647</v>
      </c>
      <c r="T275" s="0" t="n">
        <f aca="false">$B275/T$1</f>
        <v>0.00798095238095238</v>
      </c>
      <c r="U275" s="0" t="n">
        <f aca="false">$B275/U$1</f>
        <v>0.00754954954954955</v>
      </c>
      <c r="V275" s="0" t="n">
        <f aca="false">$B275/V$1</f>
        <v>0.00716239316239316</v>
      </c>
      <c r="W275" s="0" t="n">
        <f aca="false">$B275/W$1</f>
        <v>0.0068130081300813</v>
      </c>
      <c r="X275" s="0" t="n">
        <f aca="false">$B275/X$1</f>
        <v>0.00649612403100775</v>
      </c>
      <c r="Y275" s="0" t="n">
        <f aca="false">$B275/Y$1</f>
        <v>0.00620740740740741</v>
      </c>
      <c r="Z275" s="0" t="n">
        <f aca="false">$B275/Z$1</f>
        <v>0.00594326241134752</v>
      </c>
      <c r="AA275" s="0" t="n">
        <f aca="false">$B275/AA$1</f>
        <v>0.00570068027210885</v>
      </c>
      <c r="AB275" s="0" t="n">
        <f aca="false">$B275/AB$1</f>
        <v>0.00547712418300654</v>
      </c>
      <c r="AC275" s="0" t="n">
        <f aca="false">$B275/AC$1</f>
        <v>0.00527044025157233</v>
      </c>
      <c r="AD275" s="0" t="n">
        <f aca="false">$B275/AD$1</f>
        <v>0.00507878787878788</v>
      </c>
      <c r="AE275" s="0" t="n">
        <f aca="false">$B275/AE$1</f>
        <v>0.00490058479532164</v>
      </c>
      <c r="AF275" s="0" t="n">
        <f aca="false">$B275/AF$1</f>
        <v>0.00473446327683616</v>
      </c>
      <c r="AG275" s="0" t="n">
        <f aca="false">$B275/AG$1</f>
        <v>0.0045792349726776</v>
      </c>
      <c r="AH275" s="0" t="n">
        <f aca="false">$B275/AH$1</f>
        <v>0.00443386243386244</v>
      </c>
      <c r="AI275" s="0" t="n">
        <f aca="false">$B275/AI$1</f>
        <v>0.0042974358974359</v>
      </c>
      <c r="AJ275" s="0" t="n">
        <f aca="false">$B275/AJ$1</f>
        <v>0.00416915422885572</v>
      </c>
      <c r="AK275" s="0" t="n">
        <f aca="false">$B275/AK$1</f>
        <v>0.00404830917874396</v>
      </c>
      <c r="AL275" s="0" t="n">
        <f aca="false">$B275/AL$1</f>
        <v>0.00393427230046948</v>
      </c>
      <c r="AM275" s="0" t="n">
        <f aca="false">$B275/AM$1</f>
        <v>0.00382648401826484</v>
      </c>
      <c r="AN275" s="0" t="n">
        <f aca="false">$B275/AN$1</f>
        <v>0.00372444444444445</v>
      </c>
      <c r="AO275" s="0" t="n">
        <f aca="false">$B275/AO$1</f>
        <v>0.00362770562770563</v>
      </c>
      <c r="AP275" s="0" t="n">
        <f aca="false">$B275/AP$1</f>
        <v>0.00353586497890295</v>
      </c>
      <c r="AQ275" s="0" t="n">
        <f aca="false">$B275/AQ$1</f>
        <v>0.00344855967078189</v>
      </c>
      <c r="AR275" s="0" t="n">
        <f aca="false">$B275/AR$1</f>
        <v>0.00336546184738956</v>
      </c>
      <c r="AS275" s="0" t="n">
        <f aca="false">$B275/AS$1</f>
        <v>0.00328627450980392</v>
      </c>
      <c r="AT275" s="0" t="n">
        <f aca="false">$B275/AT$1</f>
        <v>0.00321072796934866</v>
      </c>
      <c r="AU275" s="0" t="n">
        <f aca="false">$B275/AU$1</f>
        <v>0.00313857677902622</v>
      </c>
      <c r="AV275" s="0" t="n">
        <f aca="false">$B275/AV$1</f>
        <v>0.00306959706959707</v>
      </c>
      <c r="AW275" s="0" t="n">
        <f aca="false">$B275/AW$1</f>
        <v>0.00300358422939068</v>
      </c>
      <c r="AX275" s="0" t="n">
        <f aca="false">$B275/AX$1</f>
        <v>0.00294035087719298</v>
      </c>
      <c r="AY275" s="0" t="n">
        <f aca="false">$B275/AY$1</f>
        <v>0.00287972508591065</v>
      </c>
      <c r="AZ275" s="0" t="n">
        <f aca="false">$B275/AZ$1</f>
        <v>0.00282154882154882</v>
      </c>
      <c r="BA275" s="0" t="n">
        <f aca="false">$B275/BA$1</f>
        <v>0.00276567656765677</v>
      </c>
      <c r="BB275" s="0" t="n">
        <f aca="false">$B275/BB$1</f>
        <v>0.00271197411003236</v>
      </c>
      <c r="BC275" s="0" t="n">
        <f aca="false">$B275/BC$1</f>
        <v>0.00266031746031746</v>
      </c>
      <c r="BD275" s="0" t="n">
        <f aca="false">$B275/BD$1</f>
        <v>0.00261059190031153</v>
      </c>
      <c r="BE275" s="0" t="n">
        <f aca="false">$B275/BE$1</f>
        <v>0.00256269113149847</v>
      </c>
      <c r="BF275" s="0" t="n">
        <f aca="false">$B275/BF$1</f>
        <v>0.00251651651651652</v>
      </c>
      <c r="BG275" s="0" t="n">
        <f aca="false">$B275/BG$1</f>
        <v>0.00247197640117994</v>
      </c>
      <c r="BH275" s="0" t="n">
        <f aca="false">$B275/BH$1</f>
        <v>0.00242898550724638</v>
      </c>
      <c r="BI275" s="0" t="n">
        <f aca="false">$B275/BI$1</f>
        <v>0.00238746438746439</v>
      </c>
      <c r="BJ275" s="0" t="n">
        <f aca="false">$B275/BJ$1</f>
        <v>0.00234733893557423</v>
      </c>
      <c r="BL275" s="0" t="n">
        <f aca="false">IF($B$273=1,COUNTIF(C275:BJ275,"&gt;="&amp;$C$273),0)</f>
        <v>34</v>
      </c>
      <c r="BM275" s="0" t="n">
        <f aca="false">IF($B$273=1,IF(OR(BS275&gt;=Settings!$B$5,Settings!$C$15&gt;0),MAX(BL275,Settings!$C$15),0),0)</f>
        <v>34</v>
      </c>
      <c r="BN275" s="0" t="n">
        <f aca="false">IF($B$273=1,IF(OR(BS275&gt;=Settings!$B$5,Settings!$C$15&gt;0),MAX(0,(2*MAX(BL275,Settings!$C$15)+1)*$C$273-BS275),MAX(0,Settings!$B$5-BS275)),"")</f>
        <v>0.00586666666666663</v>
      </c>
      <c r="BO275" s="0" t="n">
        <f aca="false">IF($B$273=1,IF(OR(BS275&gt;=Settings!$B$5,Settings!$C$15&gt;0),IF(BL275&lt;=Settings!$C$15,"Protected by electorates",IF(Settings!$C$15=0,MIN(BS275-(2*BL275-1)*$D$273,BS275-Settings!$B$5),BS275-(2*BL275-1)*$D$273)),""),"")</f>
        <v>0.00270209339774558</v>
      </c>
      <c r="BP275" s="0" t="n">
        <f aca="false">IF($B$273=1,IF(OR(BS275&gt;=Settings!$B$5,Settings!$C$15&gt;0),MAX(0,MIN(1,(BS275/$C$273-(2*MAX(BL275,Settings!$C$15)-1))/2)),MIN(1,BS275/Settings!$B$5)),"")</f>
        <v>0.290322580645167</v>
      </c>
      <c r="BQ275" s="0" t="n">
        <f aca="false">IF(AND($B$273=1,COUNTIF(C275:BJ275,$C$273)&gt;0),1,0)</f>
        <v>0</v>
      </c>
      <c r="BR275" s="0" t="n">
        <f aca="false">IF(AND($B$273=1,COUNTIF(C275:BJ275,$D$273)&gt;0),1,0)</f>
        <v>0</v>
      </c>
      <c r="BS275" s="0" t="n">
        <f aca="false">N(Polls!I37)</f>
        <v>0.279333333333333</v>
      </c>
      <c r="BT275" s="0" t="str">
        <f aca="false">IF(OR(BS275&gt;=Settings!$B$5,Settings!$C$15&gt;0),"Next seat","Threshold")</f>
        <v>Next seat</v>
      </c>
    </row>
    <row r="276" customFormat="false" ht="15" hidden="false" customHeight="false" outlineLevel="0" collapsed="false">
      <c r="A276" s="0" t="s">
        <v>45</v>
      </c>
      <c r="B276" s="0" t="n">
        <f aca="false">IF(OR(BS276&gt;=Settings!$B$5,Settings!$C$16&gt;0),BS276,0)</f>
        <v>0.145555555555556</v>
      </c>
      <c r="C276" s="0" t="n">
        <f aca="false">$B276/C$1</f>
        <v>0.145555555555556</v>
      </c>
      <c r="D276" s="0" t="n">
        <f aca="false">$B276/D$1</f>
        <v>0.0485185185185185</v>
      </c>
      <c r="E276" s="0" t="n">
        <f aca="false">$B276/E$1</f>
        <v>0.0291111111111111</v>
      </c>
      <c r="F276" s="0" t="n">
        <f aca="false">$B276/F$1</f>
        <v>0.0207936507936508</v>
      </c>
      <c r="G276" s="0" t="n">
        <f aca="false">$B276/G$1</f>
        <v>0.0161728395061728</v>
      </c>
      <c r="H276" s="0" t="n">
        <f aca="false">$B276/H$1</f>
        <v>0.0132323232323232</v>
      </c>
      <c r="I276" s="0" t="n">
        <f aca="false">$B276/I$1</f>
        <v>0.0111965811965812</v>
      </c>
      <c r="J276" s="0" t="n">
        <f aca="false">$B276/J$1</f>
        <v>0.0097037037037037</v>
      </c>
      <c r="K276" s="0" t="n">
        <f aca="false">$B276/K$1</f>
        <v>0.00856209150326797</v>
      </c>
      <c r="L276" s="0" t="n">
        <f aca="false">$B276/L$1</f>
        <v>0.00766081871345029</v>
      </c>
      <c r="M276" s="0" t="n">
        <f aca="false">$B276/M$1</f>
        <v>0.00693121693121693</v>
      </c>
      <c r="N276" s="0" t="n">
        <f aca="false">$B276/N$1</f>
        <v>0.00632850241545894</v>
      </c>
      <c r="O276" s="0" t="n">
        <f aca="false">$B276/O$1</f>
        <v>0.00582222222222222</v>
      </c>
      <c r="P276" s="0" t="n">
        <f aca="false">$B276/P$1</f>
        <v>0.00539094650205761</v>
      </c>
      <c r="Q276" s="0" t="n">
        <f aca="false">$B276/Q$1</f>
        <v>0.00501915708812261</v>
      </c>
      <c r="R276" s="0" t="n">
        <f aca="false">$B276/R$1</f>
        <v>0.00469534050179212</v>
      </c>
      <c r="S276" s="0" t="n">
        <f aca="false">$B276/S$1</f>
        <v>0.00441077441077441</v>
      </c>
      <c r="T276" s="0" t="n">
        <f aca="false">$B276/T$1</f>
        <v>0.00415873015873016</v>
      </c>
      <c r="U276" s="0" t="n">
        <f aca="false">$B276/U$1</f>
        <v>0.00393393393393393</v>
      </c>
      <c r="V276" s="0" t="n">
        <f aca="false">$B276/V$1</f>
        <v>0.00373219373219373</v>
      </c>
      <c r="W276" s="0" t="n">
        <f aca="false">$B276/W$1</f>
        <v>0.00355013550135501</v>
      </c>
      <c r="X276" s="0" t="n">
        <f aca="false">$B276/X$1</f>
        <v>0.00338501291989664</v>
      </c>
      <c r="Y276" s="0" t="n">
        <f aca="false">$B276/Y$1</f>
        <v>0.00323456790123457</v>
      </c>
      <c r="Z276" s="0" t="n">
        <f aca="false">$B276/Z$1</f>
        <v>0.00309692671394799</v>
      </c>
      <c r="AA276" s="0" t="n">
        <f aca="false">$B276/AA$1</f>
        <v>0.00297052154195011</v>
      </c>
      <c r="AB276" s="0" t="n">
        <f aca="false">$B276/AB$1</f>
        <v>0.00285403050108932</v>
      </c>
      <c r="AC276" s="0" t="n">
        <f aca="false">$B276/AC$1</f>
        <v>0.00274633123689727</v>
      </c>
      <c r="AD276" s="0" t="n">
        <f aca="false">$B276/AD$1</f>
        <v>0.00264646464646465</v>
      </c>
      <c r="AE276" s="0" t="n">
        <f aca="false">$B276/AE$1</f>
        <v>0.00255360623781676</v>
      </c>
      <c r="AF276" s="0" t="n">
        <f aca="false">$B276/AF$1</f>
        <v>0.00246704331450094</v>
      </c>
      <c r="AG276" s="0" t="n">
        <f aca="false">$B276/AG$1</f>
        <v>0.00238615664845173</v>
      </c>
      <c r="AH276" s="0" t="n">
        <f aca="false">$B276/AH$1</f>
        <v>0.00231040564373898</v>
      </c>
      <c r="AI276" s="0" t="n">
        <f aca="false">$B276/AI$1</f>
        <v>0.00223931623931624</v>
      </c>
      <c r="AJ276" s="0" t="n">
        <f aca="false">$B276/AJ$1</f>
        <v>0.00217247097844113</v>
      </c>
      <c r="AK276" s="0" t="n">
        <f aca="false">$B276/AK$1</f>
        <v>0.00210950080515298</v>
      </c>
      <c r="AL276" s="0" t="n">
        <f aca="false">$B276/AL$1</f>
        <v>0.00205007824726135</v>
      </c>
      <c r="AM276" s="0" t="n">
        <f aca="false">$B276/AM$1</f>
        <v>0.00199391171993912</v>
      </c>
      <c r="AN276" s="0" t="n">
        <f aca="false">$B276/AN$1</f>
        <v>0.00194074074074074</v>
      </c>
      <c r="AO276" s="0" t="n">
        <f aca="false">$B276/AO$1</f>
        <v>0.00189033189033189</v>
      </c>
      <c r="AP276" s="0" t="n">
        <f aca="false">$B276/AP$1</f>
        <v>0.00184247538677918</v>
      </c>
      <c r="AQ276" s="0" t="n">
        <f aca="false">$B276/AQ$1</f>
        <v>0.00179698216735254</v>
      </c>
      <c r="AR276" s="0" t="n">
        <f aca="false">$B276/AR$1</f>
        <v>0.00175368139223561</v>
      </c>
      <c r="AS276" s="0" t="n">
        <f aca="false">$B276/AS$1</f>
        <v>0.00171241830065359</v>
      </c>
      <c r="AT276" s="0" t="n">
        <f aca="false">$B276/AT$1</f>
        <v>0.00167305236270754</v>
      </c>
      <c r="AU276" s="0" t="n">
        <f aca="false">$B276/AU$1</f>
        <v>0.0016354556803995</v>
      </c>
      <c r="AV276" s="0" t="n">
        <f aca="false">$B276/AV$1</f>
        <v>0.0015995115995116</v>
      </c>
      <c r="AW276" s="0" t="n">
        <f aca="false">$B276/AW$1</f>
        <v>0.00156511350059737</v>
      </c>
      <c r="AX276" s="0" t="n">
        <f aca="false">$B276/AX$1</f>
        <v>0.00153216374269006</v>
      </c>
      <c r="AY276" s="0" t="n">
        <f aca="false">$B276/AY$1</f>
        <v>0.00150057273768614</v>
      </c>
      <c r="AZ276" s="0" t="n">
        <f aca="false">$B276/AZ$1</f>
        <v>0.0014702581369248</v>
      </c>
      <c r="BA276" s="0" t="n">
        <f aca="false">$B276/BA$1</f>
        <v>0.00144114411441144</v>
      </c>
      <c r="BB276" s="0" t="n">
        <f aca="false">$B276/BB$1</f>
        <v>0.00141316073354908</v>
      </c>
      <c r="BC276" s="0" t="n">
        <f aca="false">$B276/BC$1</f>
        <v>0.00138624338624339</v>
      </c>
      <c r="BD276" s="0" t="n">
        <f aca="false">$B276/BD$1</f>
        <v>0.00136033229491173</v>
      </c>
      <c r="BE276" s="0" t="n">
        <f aca="false">$B276/BE$1</f>
        <v>0.00133537206931702</v>
      </c>
      <c r="BF276" s="0" t="n">
        <f aca="false">$B276/BF$1</f>
        <v>0.00131131131131131</v>
      </c>
      <c r="BG276" s="0" t="n">
        <f aca="false">$B276/BG$1</f>
        <v>0.00128810226155359</v>
      </c>
      <c r="BH276" s="0" t="n">
        <f aca="false">$B276/BH$1</f>
        <v>0.00126570048309179</v>
      </c>
      <c r="BI276" s="0" t="n">
        <f aca="false">$B276/BI$1</f>
        <v>0.00124406457739791</v>
      </c>
      <c r="BJ276" s="0" t="n">
        <f aca="false">$B276/BJ$1</f>
        <v>0.00122315592903828</v>
      </c>
      <c r="BL276" s="0" t="n">
        <f aca="false">IF($B$273=1,COUNTIF(C276:BJ276,"&gt;="&amp;$C$273),0)</f>
        <v>18</v>
      </c>
      <c r="BM276" s="0" t="n">
        <f aca="false">IF($B$273=1,IF(OR(BS276&gt;=Settings!$B$5,Settings!$C$16&gt;0),MAX(BL276,Settings!$C$16),0),0)</f>
        <v>18</v>
      </c>
      <c r="BN276" s="0" t="n">
        <f aca="false">IF($B$273=1,IF(OR(BS276&gt;=Settings!$B$5,Settings!$C$16&gt;0),MAX(0,(2*MAX(BL276,Settings!$C$16)+1)*$C$273-BS276),MAX(0,Settings!$B$5-BS276)),"")</f>
        <v>0.00737777777777779</v>
      </c>
      <c r="BO276" s="0" t="n">
        <f aca="false">IF($B$273=1,IF(OR(BS276&gt;=Settings!$B$5,Settings!$C$16&gt;0),IF(BL276&lt;=Settings!$C$16,"Protected by electorates",IF(Settings!$C$16=0,MIN(BS276-(2*BL276-1)*$D$273,BS276-Settings!$B$5),BS276-(2*BL276-1)*$D$273)),""),"")</f>
        <v>0.0010466988727858</v>
      </c>
      <c r="BP276" s="0" t="n">
        <f aca="false">IF($B$273=1,IF(OR(BS276&gt;=Settings!$B$5,Settings!$C$16&gt;0),MAX(0,MIN(1,(BS276/$C$273-(2*MAX(BL276,Settings!$C$16)-1))/2)),MIN(1,BS276/Settings!$B$5)),"")</f>
        <v>0.107526881720428</v>
      </c>
      <c r="BQ276" s="0" t="n">
        <f aca="false">IF(AND($B$273=1,COUNTIF(C276:BJ276,$C$273)&gt;0),1,0)</f>
        <v>0</v>
      </c>
      <c r="BR276" s="0" t="n">
        <f aca="false">IF(AND($B$273=1,COUNTIF(C276:BJ276,$D$273)&gt;0),1,0)</f>
        <v>0</v>
      </c>
      <c r="BS276" s="0" t="n">
        <f aca="false">N(Polls!J37)</f>
        <v>0.145555555555556</v>
      </c>
      <c r="BT276" s="0" t="str">
        <f aca="false">IF(OR(BS276&gt;=Settings!$B$5,Settings!$C$16&gt;0),"Next seat","Threshold")</f>
        <v>Next seat</v>
      </c>
    </row>
    <row r="277" customFormat="false" ht="15" hidden="false" customHeight="false" outlineLevel="0" collapsed="false">
      <c r="A277" s="0" t="s">
        <v>46</v>
      </c>
      <c r="B277" s="0" t="n">
        <f aca="false">IF(OR(BS277&gt;=Settings!$B$5,Settings!$C$17&gt;0),BS277,0)</f>
        <v>0.0963333333333333</v>
      </c>
      <c r="C277" s="0" t="n">
        <f aca="false">$B277/C$1</f>
        <v>0.0963333333333333</v>
      </c>
      <c r="D277" s="0" t="n">
        <f aca="false">$B277/D$1</f>
        <v>0.0321111111111111</v>
      </c>
      <c r="E277" s="0" t="n">
        <f aca="false">$B277/E$1</f>
        <v>0.0192666666666667</v>
      </c>
      <c r="F277" s="0" t="n">
        <f aca="false">$B277/F$1</f>
        <v>0.0137619047619048</v>
      </c>
      <c r="G277" s="0" t="n">
        <f aca="false">$B277/G$1</f>
        <v>0.0107037037037037</v>
      </c>
      <c r="H277" s="0" t="n">
        <f aca="false">$B277/H$1</f>
        <v>0.00875757575757576</v>
      </c>
      <c r="I277" s="0" t="n">
        <f aca="false">$B277/I$1</f>
        <v>0.00741025641025641</v>
      </c>
      <c r="J277" s="0" t="n">
        <f aca="false">$B277/J$1</f>
        <v>0.00642222222222222</v>
      </c>
      <c r="K277" s="0" t="n">
        <f aca="false">$B277/K$1</f>
        <v>0.00566666666666667</v>
      </c>
      <c r="L277" s="0" t="n">
        <f aca="false">$B277/L$1</f>
        <v>0.00507017543859649</v>
      </c>
      <c r="M277" s="0" t="n">
        <f aca="false">$B277/M$1</f>
        <v>0.00458730158730159</v>
      </c>
      <c r="N277" s="0" t="n">
        <f aca="false">$B277/N$1</f>
        <v>0.00418840579710145</v>
      </c>
      <c r="O277" s="0" t="n">
        <f aca="false">$B277/O$1</f>
        <v>0.00385333333333333</v>
      </c>
      <c r="P277" s="0" t="n">
        <f aca="false">$B277/P$1</f>
        <v>0.0035679012345679</v>
      </c>
      <c r="Q277" s="0" t="n">
        <f aca="false">$B277/Q$1</f>
        <v>0.00332183908045977</v>
      </c>
      <c r="R277" s="0" t="n">
        <f aca="false">$B277/R$1</f>
        <v>0.00310752688172043</v>
      </c>
      <c r="S277" s="0" t="n">
        <f aca="false">$B277/S$1</f>
        <v>0.00291919191919192</v>
      </c>
      <c r="T277" s="0" t="n">
        <f aca="false">$B277/T$1</f>
        <v>0.00275238095238095</v>
      </c>
      <c r="U277" s="0" t="n">
        <f aca="false">$B277/U$1</f>
        <v>0.0026036036036036</v>
      </c>
      <c r="V277" s="0" t="n">
        <f aca="false">$B277/V$1</f>
        <v>0.00247008547008547</v>
      </c>
      <c r="W277" s="0" t="n">
        <f aca="false">$B277/W$1</f>
        <v>0.00234959349593496</v>
      </c>
      <c r="X277" s="0" t="n">
        <f aca="false">$B277/X$1</f>
        <v>0.00224031007751938</v>
      </c>
      <c r="Y277" s="0" t="n">
        <f aca="false">$B277/Y$1</f>
        <v>0.00214074074074074</v>
      </c>
      <c r="Z277" s="0" t="n">
        <f aca="false">$B277/Z$1</f>
        <v>0.00204964539007092</v>
      </c>
      <c r="AA277" s="0" t="n">
        <f aca="false">$B277/AA$1</f>
        <v>0.00196598639455782</v>
      </c>
      <c r="AB277" s="0" t="n">
        <f aca="false">$B277/AB$1</f>
        <v>0.00188888888888889</v>
      </c>
      <c r="AC277" s="0" t="n">
        <f aca="false">$B277/AC$1</f>
        <v>0.00181761006289308</v>
      </c>
      <c r="AD277" s="0" t="n">
        <f aca="false">$B277/AD$1</f>
        <v>0.00175151515151515</v>
      </c>
      <c r="AE277" s="0" t="n">
        <f aca="false">$B277/AE$1</f>
        <v>0.00169005847953216</v>
      </c>
      <c r="AF277" s="0" t="n">
        <f aca="false">$B277/AF$1</f>
        <v>0.00163276836158192</v>
      </c>
      <c r="AG277" s="0" t="n">
        <f aca="false">$B277/AG$1</f>
        <v>0.0015792349726776</v>
      </c>
      <c r="AH277" s="0" t="n">
        <f aca="false">$B277/AH$1</f>
        <v>0.00152910052910053</v>
      </c>
      <c r="AI277" s="0" t="n">
        <f aca="false">$B277/AI$1</f>
        <v>0.00148205128205128</v>
      </c>
      <c r="AJ277" s="0" t="n">
        <f aca="false">$B277/AJ$1</f>
        <v>0.00143781094527363</v>
      </c>
      <c r="AK277" s="0" t="n">
        <f aca="false">$B277/AK$1</f>
        <v>0.00139613526570048</v>
      </c>
      <c r="AL277" s="0" t="n">
        <f aca="false">$B277/AL$1</f>
        <v>0.00135680751173709</v>
      </c>
      <c r="AM277" s="0" t="n">
        <f aca="false">$B277/AM$1</f>
        <v>0.00131963470319635</v>
      </c>
      <c r="AN277" s="0" t="n">
        <f aca="false">$B277/AN$1</f>
        <v>0.00128444444444444</v>
      </c>
      <c r="AO277" s="0" t="n">
        <f aca="false">$B277/AO$1</f>
        <v>0.00125108225108225</v>
      </c>
      <c r="AP277" s="0" t="n">
        <f aca="false">$B277/AP$1</f>
        <v>0.00121940928270042</v>
      </c>
      <c r="AQ277" s="0" t="n">
        <f aca="false">$B277/AQ$1</f>
        <v>0.00118930041152263</v>
      </c>
      <c r="AR277" s="0" t="n">
        <f aca="false">$B277/AR$1</f>
        <v>0.00116064257028112</v>
      </c>
      <c r="AS277" s="0" t="n">
        <f aca="false">$B277/AS$1</f>
        <v>0.00113333333333333</v>
      </c>
      <c r="AT277" s="0" t="n">
        <f aca="false">$B277/AT$1</f>
        <v>0.00110727969348659</v>
      </c>
      <c r="AU277" s="0" t="n">
        <f aca="false">$B277/AU$1</f>
        <v>0.00108239700374532</v>
      </c>
      <c r="AV277" s="0" t="n">
        <f aca="false">$B277/AV$1</f>
        <v>0.00105860805860806</v>
      </c>
      <c r="AW277" s="0" t="n">
        <f aca="false">$B277/AW$1</f>
        <v>0.00103584229390681</v>
      </c>
      <c r="AX277" s="0" t="n">
        <f aca="false">$B277/AX$1</f>
        <v>0.0010140350877193</v>
      </c>
      <c r="AY277" s="0" t="n">
        <f aca="false">$B277/AY$1</f>
        <v>0.000993127147766323</v>
      </c>
      <c r="AZ277" s="0" t="n">
        <f aca="false">$B277/AZ$1</f>
        <v>0.000973063973063973</v>
      </c>
      <c r="BA277" s="0" t="n">
        <f aca="false">$B277/BA$1</f>
        <v>0.000953795379537954</v>
      </c>
      <c r="BB277" s="0" t="n">
        <f aca="false">$B277/BB$1</f>
        <v>0.000935275080906149</v>
      </c>
      <c r="BC277" s="0" t="n">
        <f aca="false">$B277/BC$1</f>
        <v>0.000917460317460317</v>
      </c>
      <c r="BD277" s="0" t="n">
        <f aca="false">$B277/BD$1</f>
        <v>0.000900311526479751</v>
      </c>
      <c r="BE277" s="0" t="n">
        <f aca="false">$B277/BE$1</f>
        <v>0.000883792048929664</v>
      </c>
      <c r="BF277" s="0" t="n">
        <f aca="false">$B277/BF$1</f>
        <v>0.000867867867867868</v>
      </c>
      <c r="BG277" s="0" t="n">
        <f aca="false">$B277/BG$1</f>
        <v>0.000852507374631268</v>
      </c>
      <c r="BH277" s="0" t="n">
        <f aca="false">$B277/BH$1</f>
        <v>0.00083768115942029</v>
      </c>
      <c r="BI277" s="0" t="n">
        <f aca="false">$B277/BI$1</f>
        <v>0.000823361823361823</v>
      </c>
      <c r="BJ277" s="0" t="n">
        <f aca="false">$B277/BJ$1</f>
        <v>0.00080952380952381</v>
      </c>
      <c r="BL277" s="0" t="n">
        <f aca="false">IF($B$273=1,COUNTIF(C277:BJ277,"&gt;="&amp;$C$273),0)</f>
        <v>12</v>
      </c>
      <c r="BM277" s="0" t="n">
        <f aca="false">IF($B$273=1,IF(OR(BS277&gt;=Settings!$B$5,Settings!$C$17&gt;0),MAX(BL277,Settings!$C$17),0),0)</f>
        <v>12</v>
      </c>
      <c r="BN277" s="0" t="n">
        <f aca="false">IF($B$273=1,IF(OR(BS277&gt;=Settings!$B$5,Settings!$C$17&gt;0),MAX(0,(2*MAX(BL277,Settings!$C$17)+1)*$C$273-BS277),MAX(0,Settings!$B$5-BS277)),"")</f>
        <v>0.00700000000000001</v>
      </c>
      <c r="BO277" s="0" t="n">
        <f aca="false">IF($B$273=1,IF(OR(BS277&gt;=Settings!$B$5,Settings!$C$17&gt;0),IF(BL277&lt;=Settings!$C$17,"Protected by electorates",IF(Settings!$C$17=0,MIN(BS277-(2*BL277-1)*$D$273,BS277-Settings!$B$5),BS277-(2*BL277-1)*$D$273)),""),"")</f>
        <v>0.00137037037037036</v>
      </c>
      <c r="BP277" s="0" t="n">
        <f aca="false">IF($B$273=1,IF(OR(BS277&gt;=Settings!$B$5,Settings!$C$17&gt;0),MAX(0,MIN(1,(BS277/$C$273-(2*MAX(BL277,Settings!$C$17)-1))/2)),MIN(1,BS277/Settings!$B$5)),"")</f>
        <v>0.153225806451612</v>
      </c>
      <c r="BQ277" s="0" t="n">
        <f aca="false">IF(AND($B$273=1,COUNTIF(C277:BJ277,$C$273)&gt;0),1,0)</f>
        <v>0</v>
      </c>
      <c r="BR277" s="0" t="n">
        <f aca="false">IF(AND($B$273=1,COUNTIF(C277:BJ277,$D$273)&gt;0),1,0)</f>
        <v>0</v>
      </c>
      <c r="BS277" s="0" t="n">
        <f aca="false">N(Polls!K37)</f>
        <v>0.0963333333333333</v>
      </c>
      <c r="BT277" s="0" t="str">
        <f aca="false">IF(OR(BS277&gt;=Settings!$B$5,Settings!$C$17&gt;0),"Next seat","Threshold")</f>
        <v>Next seat</v>
      </c>
    </row>
    <row r="278" customFormat="false" ht="15" hidden="false" customHeight="false" outlineLevel="0" collapsed="false">
      <c r="A278" s="0" t="s">
        <v>48</v>
      </c>
      <c r="B278" s="0" t="n">
        <f aca="false">IF(OR(BS278&gt;=Settings!$B$5,Settings!$C$18&gt;0),BS278,0)</f>
        <v>0.103333333333333</v>
      </c>
      <c r="C278" s="0" t="n">
        <f aca="false">$B278/C$1</f>
        <v>0.103333333333333</v>
      </c>
      <c r="D278" s="0" t="n">
        <f aca="false">$B278/D$1</f>
        <v>0.0344444444444444</v>
      </c>
      <c r="E278" s="0" t="n">
        <f aca="false">$B278/E$1</f>
        <v>0.0206666666666667</v>
      </c>
      <c r="F278" s="0" t="n">
        <f aca="false">$B278/F$1</f>
        <v>0.0147619047619048</v>
      </c>
      <c r="G278" s="0" t="n">
        <f aca="false">$B278/G$1</f>
        <v>0.0114814814814815</v>
      </c>
      <c r="H278" s="0" t="n">
        <f aca="false">$B278/H$1</f>
        <v>0.00939393939393939</v>
      </c>
      <c r="I278" s="0" t="n">
        <f aca="false">$B278/I$1</f>
        <v>0.00794871794871795</v>
      </c>
      <c r="J278" s="0" t="n">
        <f aca="false">$B278/J$1</f>
        <v>0.00688888888888889</v>
      </c>
      <c r="K278" s="0" t="n">
        <f aca="false">$B278/K$1</f>
        <v>0.00607843137254902</v>
      </c>
      <c r="L278" s="0" t="n">
        <f aca="false">$B278/L$1</f>
        <v>0.00543859649122807</v>
      </c>
      <c r="M278" s="0" t="n">
        <f aca="false">$B278/M$1</f>
        <v>0.00492063492063492</v>
      </c>
      <c r="N278" s="0" t="n">
        <f aca="false">$B278/N$1</f>
        <v>0.00449275362318841</v>
      </c>
      <c r="O278" s="0" t="n">
        <f aca="false">$B278/O$1</f>
        <v>0.00413333333333333</v>
      </c>
      <c r="P278" s="0" t="n">
        <f aca="false">$B278/P$1</f>
        <v>0.00382716049382716</v>
      </c>
      <c r="Q278" s="0" t="n">
        <f aca="false">$B278/Q$1</f>
        <v>0.0035632183908046</v>
      </c>
      <c r="R278" s="0" t="n">
        <f aca="false">$B278/R$1</f>
        <v>0.00333333333333333</v>
      </c>
      <c r="S278" s="0" t="n">
        <f aca="false">$B278/S$1</f>
        <v>0.00313131313131313</v>
      </c>
      <c r="T278" s="0" t="n">
        <f aca="false">$B278/T$1</f>
        <v>0.00295238095238095</v>
      </c>
      <c r="U278" s="0" t="n">
        <f aca="false">$B278/U$1</f>
        <v>0.00279279279279279</v>
      </c>
      <c r="V278" s="0" t="n">
        <f aca="false">$B278/V$1</f>
        <v>0.00264957264957265</v>
      </c>
      <c r="W278" s="0" t="n">
        <f aca="false">$B278/W$1</f>
        <v>0.00252032520325203</v>
      </c>
      <c r="X278" s="0" t="n">
        <f aca="false">$B278/X$1</f>
        <v>0.0024031007751938</v>
      </c>
      <c r="Y278" s="0" t="n">
        <f aca="false">$B278/Y$1</f>
        <v>0.0022962962962963</v>
      </c>
      <c r="Z278" s="0" t="n">
        <f aca="false">$B278/Z$1</f>
        <v>0.00219858156028369</v>
      </c>
      <c r="AA278" s="0" t="n">
        <f aca="false">$B278/AA$1</f>
        <v>0.00210884353741497</v>
      </c>
      <c r="AB278" s="0" t="n">
        <f aca="false">$B278/AB$1</f>
        <v>0.00202614379084967</v>
      </c>
      <c r="AC278" s="0" t="n">
        <f aca="false">$B278/AC$1</f>
        <v>0.0019496855345912</v>
      </c>
      <c r="AD278" s="0" t="n">
        <f aca="false">$B278/AD$1</f>
        <v>0.00187878787878788</v>
      </c>
      <c r="AE278" s="0" t="n">
        <f aca="false">$B278/AE$1</f>
        <v>0.00181286549707602</v>
      </c>
      <c r="AF278" s="0" t="n">
        <f aca="false">$B278/AF$1</f>
        <v>0.00175141242937853</v>
      </c>
      <c r="AG278" s="0" t="n">
        <f aca="false">$B278/AG$1</f>
        <v>0.00169398907103825</v>
      </c>
      <c r="AH278" s="0" t="n">
        <f aca="false">$B278/AH$1</f>
        <v>0.00164021164021164</v>
      </c>
      <c r="AI278" s="0" t="n">
        <f aca="false">$B278/AI$1</f>
        <v>0.00158974358974359</v>
      </c>
      <c r="AJ278" s="0" t="n">
        <f aca="false">$B278/AJ$1</f>
        <v>0.00154228855721393</v>
      </c>
      <c r="AK278" s="0" t="n">
        <f aca="false">$B278/AK$1</f>
        <v>0.0014975845410628</v>
      </c>
      <c r="AL278" s="0" t="n">
        <f aca="false">$B278/AL$1</f>
        <v>0.00145539906103286</v>
      </c>
      <c r="AM278" s="0" t="n">
        <f aca="false">$B278/AM$1</f>
        <v>0.00141552511415525</v>
      </c>
      <c r="AN278" s="0" t="n">
        <f aca="false">$B278/AN$1</f>
        <v>0.00137777777777778</v>
      </c>
      <c r="AO278" s="0" t="n">
        <f aca="false">$B278/AO$1</f>
        <v>0.00134199134199134</v>
      </c>
      <c r="AP278" s="0" t="n">
        <f aca="false">$B278/AP$1</f>
        <v>0.00130801687763713</v>
      </c>
      <c r="AQ278" s="0" t="n">
        <f aca="false">$B278/AQ$1</f>
        <v>0.00127572016460905</v>
      </c>
      <c r="AR278" s="0" t="n">
        <f aca="false">$B278/AR$1</f>
        <v>0.00124497991967872</v>
      </c>
      <c r="AS278" s="0" t="n">
        <f aca="false">$B278/AS$1</f>
        <v>0.0012156862745098</v>
      </c>
      <c r="AT278" s="0" t="n">
        <f aca="false">$B278/AT$1</f>
        <v>0.00118773946360153</v>
      </c>
      <c r="AU278" s="0" t="n">
        <f aca="false">$B278/AU$1</f>
        <v>0.00116104868913858</v>
      </c>
      <c r="AV278" s="0" t="n">
        <f aca="false">$B278/AV$1</f>
        <v>0.00113553113553114</v>
      </c>
      <c r="AW278" s="0" t="n">
        <f aca="false">$B278/AW$1</f>
        <v>0.00111111111111111</v>
      </c>
      <c r="AX278" s="0" t="n">
        <f aca="false">$B278/AX$1</f>
        <v>0.00108771929824561</v>
      </c>
      <c r="AY278" s="0" t="n">
        <f aca="false">$B278/AY$1</f>
        <v>0.00106529209621993</v>
      </c>
      <c r="AZ278" s="0" t="n">
        <f aca="false">$B278/AZ$1</f>
        <v>0.00104377104377104</v>
      </c>
      <c r="BA278" s="0" t="n">
        <f aca="false">$B278/BA$1</f>
        <v>0.00102310231023102</v>
      </c>
      <c r="BB278" s="0" t="n">
        <f aca="false">$B278/BB$1</f>
        <v>0.00100323624595469</v>
      </c>
      <c r="BC278" s="0" t="n">
        <f aca="false">$B278/BC$1</f>
        <v>0.000984126984126984</v>
      </c>
      <c r="BD278" s="0" t="n">
        <f aca="false">$B278/BD$1</f>
        <v>0.000965732087227414</v>
      </c>
      <c r="BE278" s="0" t="n">
        <f aca="false">$B278/BE$1</f>
        <v>0.000948012232415902</v>
      </c>
      <c r="BF278" s="0" t="n">
        <f aca="false">$B278/BF$1</f>
        <v>0.000930930930930931</v>
      </c>
      <c r="BG278" s="0" t="n">
        <f aca="false">$B278/BG$1</f>
        <v>0.000914454277286136</v>
      </c>
      <c r="BH278" s="0" t="n">
        <f aca="false">$B278/BH$1</f>
        <v>0.000898550724637681</v>
      </c>
      <c r="BI278" s="0" t="n">
        <f aca="false">$B278/BI$1</f>
        <v>0.000883190883190883</v>
      </c>
      <c r="BJ278" s="0" t="n">
        <f aca="false">$B278/BJ$1</f>
        <v>0.000868347338935574</v>
      </c>
      <c r="BL278" s="0" t="n">
        <f aca="false">IF($B$273=1,COUNTIF(C278:BJ278,"&gt;="&amp;$C$273),0)</f>
        <v>13</v>
      </c>
      <c r="BM278" s="0" t="n">
        <f aca="false">IF($B$273=1,IF(OR(BS278&gt;=Settings!$B$5,Settings!$C$18&gt;0),MAX(BL278,Settings!$C$18),0),0)</f>
        <v>13</v>
      </c>
      <c r="BN278" s="0" t="n">
        <f aca="false">IF($B$273=1,IF(OR(BS278&gt;=Settings!$B$5,Settings!$C$18&gt;0),MAX(0,(2*MAX(BL278,Settings!$C$18)+1)*$C$273-BS278),MAX(0,Settings!$B$5-BS278)),"")</f>
        <v>0.00826666666666667</v>
      </c>
      <c r="BO278" s="0" t="n">
        <f aca="false">IF($B$273=1,IF(OR(BS278&gt;=Settings!$B$5,Settings!$C$18&gt;0),IF(BL278&lt;=Settings!$C$18,"Protected by electorates",IF(Settings!$C$18=0,MIN(BS278-(2*BL278-1)*$D$273,BS278-Settings!$B$5),BS278-(2*BL278-1)*$D$273)),""),"")</f>
        <v>0.000112721417069223</v>
      </c>
      <c r="BP278" s="0" t="n">
        <f aca="false">IF($B$273=1,IF(OR(BS278&gt;=Settings!$B$5,Settings!$C$18&gt;0),MAX(0,MIN(1,(BS278/$C$273-(2*MAX(BL278,Settings!$C$18)-1))/2)),MIN(1,BS278/Settings!$B$5)),"")</f>
        <v>0</v>
      </c>
      <c r="BQ278" s="0" t="n">
        <f aca="false">IF(AND($B$273=1,COUNTIF(C278:BJ278,$C$273)&gt;0),1,0)</f>
        <v>1</v>
      </c>
      <c r="BR278" s="0" t="n">
        <f aca="false">IF(AND($B$273=1,COUNTIF(C278:BJ278,$D$273)&gt;0),1,0)</f>
        <v>0</v>
      </c>
      <c r="BS278" s="0" t="n">
        <f aca="false">N(Polls!L37)</f>
        <v>0.103333333333333</v>
      </c>
      <c r="BT278" s="0" t="str">
        <f aca="false">IF(OR(BS278&gt;=Settings!$B$5,Settings!$C$18&gt;0),"Next seat","Threshold")</f>
        <v>Next seat</v>
      </c>
    </row>
    <row r="279" customFormat="false" ht="15" hidden="false" customHeight="false" outlineLevel="0" collapsed="false">
      <c r="A279" s="0" t="s">
        <v>50</v>
      </c>
      <c r="B279" s="0" t="n">
        <f aca="false">IF(OR(BS279&gt;=Settings!$B$5,Settings!$C$19&gt;0),BS279,0)</f>
        <v>0.0145</v>
      </c>
      <c r="C279" s="0" t="n">
        <f aca="false">$B279/C$1</f>
        <v>0.0145</v>
      </c>
      <c r="D279" s="0" t="n">
        <f aca="false">$B279/D$1</f>
        <v>0.00483333333333333</v>
      </c>
      <c r="E279" s="0" t="n">
        <f aca="false">$B279/E$1</f>
        <v>0.0029</v>
      </c>
      <c r="F279" s="0" t="n">
        <f aca="false">$B279/F$1</f>
        <v>0.00207142857142857</v>
      </c>
      <c r="G279" s="0" t="n">
        <f aca="false">$B279/G$1</f>
        <v>0.00161111111111111</v>
      </c>
      <c r="H279" s="0" t="n">
        <f aca="false">$B279/H$1</f>
        <v>0.00131818181818182</v>
      </c>
      <c r="I279" s="0" t="n">
        <f aca="false">$B279/I$1</f>
        <v>0.00111538461538462</v>
      </c>
      <c r="J279" s="0" t="n">
        <f aca="false">$B279/J$1</f>
        <v>0.000966666666666667</v>
      </c>
      <c r="K279" s="0" t="n">
        <f aca="false">$B279/K$1</f>
        <v>0.000852941176470588</v>
      </c>
      <c r="L279" s="0" t="n">
        <f aca="false">$B279/L$1</f>
        <v>0.000763157894736842</v>
      </c>
      <c r="M279" s="0" t="n">
        <f aca="false">$B279/M$1</f>
        <v>0.000690476190476191</v>
      </c>
      <c r="N279" s="0" t="n">
        <f aca="false">$B279/N$1</f>
        <v>0.000630434782608696</v>
      </c>
      <c r="O279" s="0" t="n">
        <f aca="false">$B279/O$1</f>
        <v>0.00058</v>
      </c>
      <c r="P279" s="0" t="n">
        <f aca="false">$B279/P$1</f>
        <v>0.000537037037037037</v>
      </c>
      <c r="Q279" s="0" t="n">
        <f aca="false">$B279/Q$1</f>
        <v>0.0005</v>
      </c>
      <c r="R279" s="0" t="n">
        <f aca="false">$B279/R$1</f>
        <v>0.000467741935483871</v>
      </c>
      <c r="S279" s="0" t="n">
        <f aca="false">$B279/S$1</f>
        <v>0.000439393939393939</v>
      </c>
      <c r="T279" s="0" t="n">
        <f aca="false">$B279/T$1</f>
        <v>0.000414285714285714</v>
      </c>
      <c r="U279" s="0" t="n">
        <f aca="false">$B279/U$1</f>
        <v>0.000391891891891892</v>
      </c>
      <c r="V279" s="0" t="n">
        <f aca="false">$B279/V$1</f>
        <v>0.000371794871794872</v>
      </c>
      <c r="W279" s="0" t="n">
        <f aca="false">$B279/W$1</f>
        <v>0.000353658536585366</v>
      </c>
      <c r="X279" s="0" t="n">
        <f aca="false">$B279/X$1</f>
        <v>0.000337209302325581</v>
      </c>
      <c r="Y279" s="0" t="n">
        <f aca="false">$B279/Y$1</f>
        <v>0.000322222222222222</v>
      </c>
      <c r="Z279" s="0" t="n">
        <f aca="false">$B279/Z$1</f>
        <v>0.000308510638297872</v>
      </c>
      <c r="AA279" s="0" t="n">
        <f aca="false">$B279/AA$1</f>
        <v>0.000295918367346939</v>
      </c>
      <c r="AB279" s="0" t="n">
        <f aca="false">$B279/AB$1</f>
        <v>0.000284313725490196</v>
      </c>
      <c r="AC279" s="0" t="n">
        <f aca="false">$B279/AC$1</f>
        <v>0.000273584905660377</v>
      </c>
      <c r="AD279" s="0" t="n">
        <f aca="false">$B279/AD$1</f>
        <v>0.000263636363636364</v>
      </c>
      <c r="AE279" s="0" t="n">
        <f aca="false">$B279/AE$1</f>
        <v>0.000254385964912281</v>
      </c>
      <c r="AF279" s="0" t="n">
        <f aca="false">$B279/AF$1</f>
        <v>0.000245762711864407</v>
      </c>
      <c r="AG279" s="0" t="n">
        <f aca="false">$B279/AG$1</f>
        <v>0.000237704918032787</v>
      </c>
      <c r="AH279" s="0" t="n">
        <f aca="false">$B279/AH$1</f>
        <v>0.00023015873015873</v>
      </c>
      <c r="AI279" s="0" t="n">
        <f aca="false">$B279/AI$1</f>
        <v>0.000223076923076923</v>
      </c>
      <c r="AJ279" s="0" t="n">
        <f aca="false">$B279/AJ$1</f>
        <v>0.000216417910447761</v>
      </c>
      <c r="AK279" s="0" t="n">
        <f aca="false">$B279/AK$1</f>
        <v>0.000210144927536232</v>
      </c>
      <c r="AL279" s="0" t="n">
        <f aca="false">$B279/AL$1</f>
        <v>0.000204225352112676</v>
      </c>
      <c r="AM279" s="0" t="n">
        <f aca="false">$B279/AM$1</f>
        <v>0.000198630136986301</v>
      </c>
      <c r="AN279" s="0" t="n">
        <f aca="false">$B279/AN$1</f>
        <v>0.000193333333333333</v>
      </c>
      <c r="AO279" s="0" t="n">
        <f aca="false">$B279/AO$1</f>
        <v>0.000188311688311688</v>
      </c>
      <c r="AP279" s="0" t="n">
        <f aca="false">$B279/AP$1</f>
        <v>0.000183544303797468</v>
      </c>
      <c r="AQ279" s="0" t="n">
        <f aca="false">$B279/AQ$1</f>
        <v>0.000179012345679012</v>
      </c>
      <c r="AR279" s="0" t="n">
        <f aca="false">$B279/AR$1</f>
        <v>0.000174698795180723</v>
      </c>
      <c r="AS279" s="0" t="n">
        <f aca="false">$B279/AS$1</f>
        <v>0.000170588235294118</v>
      </c>
      <c r="AT279" s="0" t="n">
        <f aca="false">$B279/AT$1</f>
        <v>0.000166666666666667</v>
      </c>
      <c r="AU279" s="0" t="n">
        <f aca="false">$B279/AU$1</f>
        <v>0.000162921348314607</v>
      </c>
      <c r="AV279" s="0" t="n">
        <f aca="false">$B279/AV$1</f>
        <v>0.000159340659340659</v>
      </c>
      <c r="AW279" s="0" t="n">
        <f aca="false">$B279/AW$1</f>
        <v>0.000155913978494624</v>
      </c>
      <c r="AX279" s="0" t="n">
        <f aca="false">$B279/AX$1</f>
        <v>0.000152631578947368</v>
      </c>
      <c r="AY279" s="0" t="n">
        <f aca="false">$B279/AY$1</f>
        <v>0.000149484536082474</v>
      </c>
      <c r="AZ279" s="0" t="n">
        <f aca="false">$B279/AZ$1</f>
        <v>0.000146464646464646</v>
      </c>
      <c r="BA279" s="0" t="n">
        <f aca="false">$B279/BA$1</f>
        <v>0.000143564356435644</v>
      </c>
      <c r="BB279" s="0" t="n">
        <f aca="false">$B279/BB$1</f>
        <v>0.000140776699029126</v>
      </c>
      <c r="BC279" s="0" t="n">
        <f aca="false">$B279/BC$1</f>
        <v>0.000138095238095238</v>
      </c>
      <c r="BD279" s="0" t="n">
        <f aca="false">$B279/BD$1</f>
        <v>0.000135514018691589</v>
      </c>
      <c r="BE279" s="0" t="n">
        <f aca="false">$B279/BE$1</f>
        <v>0.00013302752293578</v>
      </c>
      <c r="BF279" s="0" t="n">
        <f aca="false">$B279/BF$1</f>
        <v>0.000130630630630631</v>
      </c>
      <c r="BG279" s="0" t="n">
        <f aca="false">$B279/BG$1</f>
        <v>0.000128318584070796</v>
      </c>
      <c r="BH279" s="0" t="n">
        <f aca="false">$B279/BH$1</f>
        <v>0.000126086956521739</v>
      </c>
      <c r="BI279" s="0" t="n">
        <f aca="false">$B279/BI$1</f>
        <v>0.000123931623931624</v>
      </c>
      <c r="BJ279" s="0" t="n">
        <f aca="false">$B279/BJ$1</f>
        <v>0.000121848739495798</v>
      </c>
      <c r="BL279" s="0" t="n">
        <f aca="false">IF($B$273=1,COUNTIF(C279:BJ279,"&gt;="&amp;$C$273),0)</f>
        <v>2</v>
      </c>
      <c r="BM279" s="0" t="n">
        <f aca="false">IF($B$273=1,IF(OR(BS279&gt;=Settings!$B$5,Settings!$C$19&gt;0),MAX(BL279,Settings!$C$19),0),0)</f>
        <v>4</v>
      </c>
      <c r="BN279" s="0" t="n">
        <f aca="false">IF($B$273=1,IF(OR(BS279&gt;=Settings!$B$5,Settings!$C$19&gt;0),MAX(0,(2*MAX(BL279,Settings!$C$19)+1)*$C$273-BS279),MAX(0,Settings!$B$5-BS279)),"")</f>
        <v>0.0227</v>
      </c>
      <c r="BO279" s="0" t="str">
        <f aca="false">IF($B$273=1,IF(OR(BS279&gt;=Settings!$B$5,Settings!$C$19&gt;0),IF(BL279&lt;=Settings!$C$19,"Protected by electorates",IF(Settings!$C$19=0,MIN(BS279-(2*BL279-1)*$D$273,BS279-Settings!$B$5),BS279-(2*BL279-1)*$D$273)),""),"")</f>
        <v>Protected by electorates</v>
      </c>
      <c r="BP279" s="0" t="n">
        <f aca="false">IF($B$273=1,IF(OR(BS279&gt;=Settings!$B$5,Settings!$C$19&gt;0),MAX(0,MIN(1,(BS279/$C$273-(2*MAX(BL279,Settings!$C$19)-1))/2)),MIN(1,BS279/Settings!$B$5)),"")</f>
        <v>0</v>
      </c>
      <c r="BQ279" s="0" t="n">
        <f aca="false">IF(AND($B$273=1,COUNTIF(C279:BJ279,$C$273)&gt;0),1,0)</f>
        <v>0</v>
      </c>
      <c r="BR279" s="0" t="n">
        <f aca="false">IF(AND($B$273=1,COUNTIF(C279:BJ279,$D$273)&gt;0),1,0)</f>
        <v>0</v>
      </c>
      <c r="BS279" s="0" t="n">
        <f aca="false">N(Polls!M37)</f>
        <v>0.0145</v>
      </c>
      <c r="BT279" s="0" t="str">
        <f aca="false">IF(OR(BS279&gt;=Settings!$B$5,Settings!$C$19&gt;0),"Next seat","Threshold")</f>
        <v>Next seat</v>
      </c>
    </row>
    <row r="280" customFormat="false" ht="15" hidden="false" customHeight="false" outlineLevel="0" collapsed="false">
      <c r="A280" s="0" t="s">
        <v>52</v>
      </c>
      <c r="B280" s="0" t="n">
        <f aca="false">IF(OR(BS280&gt;=Settings!$B$5,Settings!$C$20&gt;0),BS280,0)</f>
        <v>0.0614444444444445</v>
      </c>
      <c r="C280" s="0" t="n">
        <f aca="false">$B280/C$1</f>
        <v>0.0614444444444445</v>
      </c>
      <c r="D280" s="0" t="n">
        <f aca="false">$B280/D$1</f>
        <v>0.0204814814814815</v>
      </c>
      <c r="E280" s="0" t="n">
        <f aca="false">$B280/E$1</f>
        <v>0.0122888888888889</v>
      </c>
      <c r="F280" s="0" t="n">
        <f aca="false">$B280/F$1</f>
        <v>0.00877777777777778</v>
      </c>
      <c r="G280" s="0" t="n">
        <f aca="false">$B280/G$1</f>
        <v>0.00682716049382716</v>
      </c>
      <c r="H280" s="0" t="n">
        <f aca="false">$B280/H$1</f>
        <v>0.00558585858585859</v>
      </c>
      <c r="I280" s="0" t="n">
        <f aca="false">$B280/I$1</f>
        <v>0.00472649572649573</v>
      </c>
      <c r="J280" s="0" t="n">
        <f aca="false">$B280/J$1</f>
        <v>0.0040962962962963</v>
      </c>
      <c r="K280" s="0" t="n">
        <f aca="false">$B280/K$1</f>
        <v>0.00361437908496732</v>
      </c>
      <c r="L280" s="0" t="n">
        <f aca="false">$B280/L$1</f>
        <v>0.00323391812865497</v>
      </c>
      <c r="M280" s="0" t="n">
        <f aca="false">$B280/M$1</f>
        <v>0.00292592592592593</v>
      </c>
      <c r="N280" s="0" t="n">
        <f aca="false">$B280/N$1</f>
        <v>0.00267149758454106</v>
      </c>
      <c r="O280" s="0" t="n">
        <f aca="false">$B280/O$1</f>
        <v>0.00245777777777778</v>
      </c>
      <c r="P280" s="0" t="n">
        <f aca="false">$B280/P$1</f>
        <v>0.00227572016460905</v>
      </c>
      <c r="Q280" s="0" t="n">
        <f aca="false">$B280/Q$1</f>
        <v>0.00211877394636015</v>
      </c>
      <c r="R280" s="0" t="n">
        <f aca="false">$B280/R$1</f>
        <v>0.0019820788530466</v>
      </c>
      <c r="S280" s="0" t="n">
        <f aca="false">$B280/S$1</f>
        <v>0.00186195286195286</v>
      </c>
      <c r="T280" s="0" t="n">
        <f aca="false">$B280/T$1</f>
        <v>0.00175555555555556</v>
      </c>
      <c r="U280" s="0" t="n">
        <f aca="false">$B280/U$1</f>
        <v>0.00166066066066066</v>
      </c>
      <c r="V280" s="0" t="n">
        <f aca="false">$B280/V$1</f>
        <v>0.00157549857549858</v>
      </c>
      <c r="W280" s="0" t="n">
        <f aca="false">$B280/W$1</f>
        <v>0.00149864498644986</v>
      </c>
      <c r="X280" s="0" t="n">
        <f aca="false">$B280/X$1</f>
        <v>0.00142894056847545</v>
      </c>
      <c r="Y280" s="0" t="n">
        <f aca="false">$B280/Y$1</f>
        <v>0.00136543209876543</v>
      </c>
      <c r="Z280" s="0" t="n">
        <f aca="false">$B280/Z$1</f>
        <v>0.00130732860520095</v>
      </c>
      <c r="AA280" s="0" t="n">
        <f aca="false">$B280/AA$1</f>
        <v>0.00125396825396825</v>
      </c>
      <c r="AB280" s="0" t="n">
        <f aca="false">$B280/AB$1</f>
        <v>0.00120479302832244</v>
      </c>
      <c r="AC280" s="0" t="n">
        <f aca="false">$B280/AC$1</f>
        <v>0.00115932914046122</v>
      </c>
      <c r="AD280" s="0" t="n">
        <f aca="false">$B280/AD$1</f>
        <v>0.00111717171717172</v>
      </c>
      <c r="AE280" s="0" t="n">
        <f aca="false">$B280/AE$1</f>
        <v>0.00107797270955166</v>
      </c>
      <c r="AF280" s="0" t="n">
        <f aca="false">$B280/AF$1</f>
        <v>0.00104143126177024</v>
      </c>
      <c r="AG280" s="0" t="n">
        <f aca="false">$B280/AG$1</f>
        <v>0.00100728597449909</v>
      </c>
      <c r="AH280" s="0" t="n">
        <f aca="false">$B280/AH$1</f>
        <v>0.000975308641975309</v>
      </c>
      <c r="AI280" s="0" t="n">
        <f aca="false">$B280/AI$1</f>
        <v>0.000945299145299145</v>
      </c>
      <c r="AJ280" s="0" t="n">
        <f aca="false">$B280/AJ$1</f>
        <v>0.000917081260364843</v>
      </c>
      <c r="AK280" s="0" t="n">
        <f aca="false">$B280/AK$1</f>
        <v>0.000890499194847021</v>
      </c>
      <c r="AL280" s="0" t="n">
        <f aca="false">$B280/AL$1</f>
        <v>0.000865414710485133</v>
      </c>
      <c r="AM280" s="0" t="n">
        <f aca="false">$B280/AM$1</f>
        <v>0.000841704718417047</v>
      </c>
      <c r="AN280" s="0" t="n">
        <f aca="false">$B280/AN$1</f>
        <v>0.000819259259259259</v>
      </c>
      <c r="AO280" s="0" t="n">
        <f aca="false">$B280/AO$1</f>
        <v>0.000797979797979798</v>
      </c>
      <c r="AP280" s="0" t="n">
        <f aca="false">$B280/AP$1</f>
        <v>0.000777777777777778</v>
      </c>
      <c r="AQ280" s="0" t="n">
        <f aca="false">$B280/AQ$1</f>
        <v>0.000758573388203018</v>
      </c>
      <c r="AR280" s="0" t="n">
        <f aca="false">$B280/AR$1</f>
        <v>0.000740294511378849</v>
      </c>
      <c r="AS280" s="0" t="n">
        <f aca="false">$B280/AS$1</f>
        <v>0.000722875816993464</v>
      </c>
      <c r="AT280" s="0" t="n">
        <f aca="false">$B280/AT$1</f>
        <v>0.000706257982120051</v>
      </c>
      <c r="AU280" s="0" t="n">
        <f aca="false">$B280/AU$1</f>
        <v>0.000690387016229713</v>
      </c>
      <c r="AV280" s="0" t="n">
        <f aca="false">$B280/AV$1</f>
        <v>0.000675213675213675</v>
      </c>
      <c r="AW280" s="0" t="n">
        <f aca="false">$B280/AW$1</f>
        <v>0.000660692951015532</v>
      </c>
      <c r="AX280" s="0" t="n">
        <f aca="false">$B280/AX$1</f>
        <v>0.000646783625730994</v>
      </c>
      <c r="AY280" s="0" t="n">
        <f aca="false">$B280/AY$1</f>
        <v>0.000633447880870561</v>
      </c>
      <c r="AZ280" s="0" t="n">
        <f aca="false">$B280/AZ$1</f>
        <v>0.000620650953984287</v>
      </c>
      <c r="BA280" s="0" t="n">
        <f aca="false">$B280/BA$1</f>
        <v>0.000608360836083608</v>
      </c>
      <c r="BB280" s="0" t="n">
        <f aca="false">$B280/BB$1</f>
        <v>0.000596548004314995</v>
      </c>
      <c r="BC280" s="0" t="n">
        <f aca="false">$B280/BC$1</f>
        <v>0.000585185185185185</v>
      </c>
      <c r="BD280" s="0" t="n">
        <f aca="false">$B280/BD$1</f>
        <v>0.000574247144340602</v>
      </c>
      <c r="BE280" s="0" t="n">
        <f aca="false">$B280/BE$1</f>
        <v>0.000563710499490316</v>
      </c>
      <c r="BF280" s="0" t="n">
        <f aca="false">$B280/BF$1</f>
        <v>0.000553553553553554</v>
      </c>
      <c r="BG280" s="0" t="n">
        <f aca="false">$B280/BG$1</f>
        <v>0.000543756145526057</v>
      </c>
      <c r="BH280" s="0" t="n">
        <f aca="false">$B280/BH$1</f>
        <v>0.000534299516908213</v>
      </c>
      <c r="BI280" s="0" t="n">
        <f aca="false">$B280/BI$1</f>
        <v>0.000525166191832859</v>
      </c>
      <c r="BJ280" s="0" t="n">
        <f aca="false">$B280/BJ$1</f>
        <v>0.000516339869281046</v>
      </c>
      <c r="BL280" s="0" t="n">
        <f aca="false">IF($B$273=1,COUNTIF(C280:BJ280,"&gt;="&amp;$C$273),0)</f>
        <v>7</v>
      </c>
      <c r="BM280" s="0" t="n">
        <f aca="false">IF($B$273=1,IF(OR(BS280&gt;=Settings!$B$5,Settings!$C$20&gt;0),MAX(BL280,Settings!$C$20),0),0)</f>
        <v>7</v>
      </c>
      <c r="BN280" s="0" t="n">
        <f aca="false">IF($B$273=1,IF(OR(BS280&gt;=Settings!$B$5,Settings!$C$20&gt;0),MAX(0,(2*MAX(BL280,Settings!$C$20)+1)*$C$273-BS280),MAX(0,Settings!$B$5-BS280)),"")</f>
        <v>0.000555555555555552</v>
      </c>
      <c r="BO280" s="0" t="n">
        <f aca="false">IF($B$273=1,IF(OR(BS280&gt;=Settings!$B$5,Settings!$C$20&gt;0),IF(BL280&lt;=Settings!$C$20,"Protected by electorates",IF(Settings!$C$20=0,MIN(BS280-(2*BL280-1)*$D$273,BS280-Settings!$B$5),BS280-(2*BL280-1)*$D$273)),""),"")</f>
        <v>0.00776972624798712</v>
      </c>
      <c r="BP280" s="0" t="n">
        <f aca="false">IF($B$273=1,IF(OR(BS280&gt;=Settings!$B$5,Settings!$C$20&gt;0),MAX(0,MIN(1,(BS280/$C$273-(2*MAX(BL280,Settings!$C$20)-1))/2)),MIN(1,BS280/Settings!$B$5)),"")</f>
        <v>0.932795698924731</v>
      </c>
      <c r="BQ280" s="0" t="n">
        <f aca="false">IF(AND($B$273=1,COUNTIF(C280:BJ280,$C$273)&gt;0),1,0)</f>
        <v>0</v>
      </c>
      <c r="BR280" s="0" t="n">
        <f aca="false">IF(AND($B$273=1,COUNTIF(C280:BJ280,$D$273)&gt;0),1,0)</f>
        <v>0</v>
      </c>
      <c r="BS280" s="0" t="n">
        <f aca="false">N(Polls!N37)</f>
        <v>0.0614444444444445</v>
      </c>
      <c r="BT280" s="0" t="str">
        <f aca="false">IF(OR(BS280&gt;=Settings!$B$5,Settings!$C$20&gt;0),"Next seat","Threshold")</f>
        <v>Next seat</v>
      </c>
    </row>
    <row r="282" customFormat="false" ht="15" hidden="false" customHeight="false" outlineLevel="0" collapsed="false">
      <c r="A282" s="41" t="s">
        <v>248</v>
      </c>
      <c r="B282" s="17" t="n">
        <f aca="false">IF(SUM(BS283:BS289)&gt;0,1,0)</f>
        <v>1</v>
      </c>
      <c r="C282" s="17" t="n">
        <f aca="false">IF(B282=1,LARGE(C283:BJ289,Settings!$B$4),0)</f>
        <v>0.00413333333333333</v>
      </c>
      <c r="D282" s="17" t="n">
        <f aca="false">IF(B282=1,LARGE(C283:BJ289,Settings!$B$4+1),0)</f>
        <v>0.00412882447665056</v>
      </c>
      <c r="E282" s="0" t="str">
        <f aca="false">IF(B282=1,IFERROR(INDEX(A283:A289,MATCH(1,BQ283:BQ289,0)),""),"")</f>
        <v>NZF</v>
      </c>
      <c r="F282" s="0" t="str">
        <f aca="false">IF(B282=1,IFERROR(INDEX(A283:A289,MATCH(1,BR283:BR289,0)),""),"")</f>
        <v>NAT</v>
      </c>
      <c r="G282" s="17" t="n">
        <f aca="false">IF(B282=1,SUM(BM283:BM289)+Settings!$B$10,"")</f>
        <v>122</v>
      </c>
    </row>
    <row r="283" customFormat="false" ht="15" hidden="false" customHeight="false" outlineLevel="0" collapsed="false">
      <c r="A283" s="0" t="s">
        <v>41</v>
      </c>
      <c r="B283" s="0" t="n">
        <f aca="false">IF(OR(BS283&gt;=Settings!$B$5,Settings!$C$14&gt;0),BS283,0)</f>
        <v>0.284888888888889</v>
      </c>
      <c r="C283" s="0" t="n">
        <f aca="false">$B283/C$1</f>
        <v>0.284888888888889</v>
      </c>
      <c r="D283" s="0" t="n">
        <f aca="false">$B283/D$1</f>
        <v>0.094962962962963</v>
      </c>
      <c r="E283" s="0" t="n">
        <f aca="false">$B283/E$1</f>
        <v>0.0569777777777778</v>
      </c>
      <c r="F283" s="0" t="n">
        <f aca="false">$B283/F$1</f>
        <v>0.0406984126984127</v>
      </c>
      <c r="G283" s="0" t="n">
        <f aca="false">$B283/G$1</f>
        <v>0.0316543209876543</v>
      </c>
      <c r="H283" s="0" t="n">
        <f aca="false">$B283/H$1</f>
        <v>0.0258989898989899</v>
      </c>
      <c r="I283" s="0" t="n">
        <f aca="false">$B283/I$1</f>
        <v>0.0219145299145299</v>
      </c>
      <c r="J283" s="0" t="n">
        <f aca="false">$B283/J$1</f>
        <v>0.0189925925925926</v>
      </c>
      <c r="K283" s="0" t="n">
        <f aca="false">$B283/K$1</f>
        <v>0.0167581699346405</v>
      </c>
      <c r="L283" s="0" t="n">
        <f aca="false">$B283/L$1</f>
        <v>0.0149941520467836</v>
      </c>
      <c r="M283" s="0" t="n">
        <f aca="false">$B283/M$1</f>
        <v>0.0135661375661376</v>
      </c>
      <c r="N283" s="0" t="n">
        <f aca="false">$B283/N$1</f>
        <v>0.0123864734299517</v>
      </c>
      <c r="O283" s="0" t="n">
        <f aca="false">$B283/O$1</f>
        <v>0.0113955555555556</v>
      </c>
      <c r="P283" s="0" t="n">
        <f aca="false">$B283/P$1</f>
        <v>0.0105514403292181</v>
      </c>
      <c r="Q283" s="0" t="n">
        <f aca="false">$B283/Q$1</f>
        <v>0.00982375478927203</v>
      </c>
      <c r="R283" s="0" t="n">
        <f aca="false">$B283/R$1</f>
        <v>0.0091899641577061</v>
      </c>
      <c r="S283" s="0" t="n">
        <f aca="false">$B283/S$1</f>
        <v>0.00863299663299663</v>
      </c>
      <c r="T283" s="0" t="n">
        <f aca="false">$B283/T$1</f>
        <v>0.00813968253968254</v>
      </c>
      <c r="U283" s="0" t="n">
        <f aca="false">$B283/U$1</f>
        <v>0.0076996996996997</v>
      </c>
      <c r="V283" s="0" t="n">
        <f aca="false">$B283/V$1</f>
        <v>0.00730484330484331</v>
      </c>
      <c r="W283" s="0" t="n">
        <f aca="false">$B283/W$1</f>
        <v>0.00694850948509485</v>
      </c>
      <c r="X283" s="0" t="n">
        <f aca="false">$B283/X$1</f>
        <v>0.00662532299741602</v>
      </c>
      <c r="Y283" s="0" t="n">
        <f aca="false">$B283/Y$1</f>
        <v>0.00633086419753086</v>
      </c>
      <c r="Z283" s="0" t="n">
        <f aca="false">$B283/Z$1</f>
        <v>0.00606146572104019</v>
      </c>
      <c r="AA283" s="0" t="n">
        <f aca="false">$B283/AA$1</f>
        <v>0.0058140589569161</v>
      </c>
      <c r="AB283" s="0" t="n">
        <f aca="false">$B283/AB$1</f>
        <v>0.00558605664488018</v>
      </c>
      <c r="AC283" s="0" t="n">
        <f aca="false">$B283/AC$1</f>
        <v>0.00537526205450734</v>
      </c>
      <c r="AD283" s="0" t="n">
        <f aca="false">$B283/AD$1</f>
        <v>0.00517979797979798</v>
      </c>
      <c r="AE283" s="0" t="n">
        <f aca="false">$B283/AE$1</f>
        <v>0.00499805068226121</v>
      </c>
      <c r="AF283" s="0" t="n">
        <f aca="false">$B283/AF$1</f>
        <v>0.0048286252354049</v>
      </c>
      <c r="AG283" s="0" t="n">
        <f aca="false">$B283/AG$1</f>
        <v>0.00467030965391621</v>
      </c>
      <c r="AH283" s="0" t="n">
        <f aca="false">$B283/AH$1</f>
        <v>0.00452204585537919</v>
      </c>
      <c r="AI283" s="0" t="n">
        <f aca="false">$B283/AI$1</f>
        <v>0.00438290598290598</v>
      </c>
      <c r="AJ283" s="0" t="n">
        <f aca="false">$B283/AJ$1</f>
        <v>0.00425207296849088</v>
      </c>
      <c r="AK283" s="0" t="n">
        <f aca="false">$B283/AK$1</f>
        <v>0.00412882447665056</v>
      </c>
      <c r="AL283" s="0" t="n">
        <f aca="false">$B283/AL$1</f>
        <v>0.00401251956181534</v>
      </c>
      <c r="AM283" s="0" t="n">
        <f aca="false">$B283/AM$1</f>
        <v>0.00390258751902588</v>
      </c>
      <c r="AN283" s="0" t="n">
        <f aca="false">$B283/AN$1</f>
        <v>0.00379851851851852</v>
      </c>
      <c r="AO283" s="0" t="n">
        <f aca="false">$B283/AO$1</f>
        <v>0.0036998556998557</v>
      </c>
      <c r="AP283" s="0" t="n">
        <f aca="false">$B283/AP$1</f>
        <v>0.00360618846694796</v>
      </c>
      <c r="AQ283" s="0" t="n">
        <f aca="false">$B283/AQ$1</f>
        <v>0.00351714677640604</v>
      </c>
      <c r="AR283" s="0" t="n">
        <f aca="false">$B283/AR$1</f>
        <v>0.00343239625167336</v>
      </c>
      <c r="AS283" s="0" t="n">
        <f aca="false">$B283/AS$1</f>
        <v>0.00335163398692811</v>
      </c>
      <c r="AT283" s="0" t="n">
        <f aca="false">$B283/AT$1</f>
        <v>0.00327458492975734</v>
      </c>
      <c r="AU283" s="0" t="n">
        <f aca="false">$B283/AU$1</f>
        <v>0.00320099875156055</v>
      </c>
      <c r="AV283" s="0" t="n">
        <f aca="false">$B283/AV$1</f>
        <v>0.00313064713064713</v>
      </c>
      <c r="AW283" s="0" t="n">
        <f aca="false">$B283/AW$1</f>
        <v>0.00306332138590203</v>
      </c>
      <c r="AX283" s="0" t="n">
        <f aca="false">$B283/AX$1</f>
        <v>0.00299883040935673</v>
      </c>
      <c r="AY283" s="0" t="n">
        <f aca="false">$B283/AY$1</f>
        <v>0.00293699885452463</v>
      </c>
      <c r="AZ283" s="0" t="n">
        <f aca="false">$B283/AZ$1</f>
        <v>0.00287766554433221</v>
      </c>
      <c r="BA283" s="0" t="n">
        <f aca="false">$B283/BA$1</f>
        <v>0.00282068206820682</v>
      </c>
      <c r="BB283" s="0" t="n">
        <f aca="false">$B283/BB$1</f>
        <v>0.00276591154261057</v>
      </c>
      <c r="BC283" s="0" t="n">
        <f aca="false">$B283/BC$1</f>
        <v>0.00271322751322751</v>
      </c>
      <c r="BD283" s="0" t="n">
        <f aca="false">$B283/BD$1</f>
        <v>0.00266251298026999</v>
      </c>
      <c r="BE283" s="0" t="n">
        <f aca="false">$B283/BE$1</f>
        <v>0.00261365953109072</v>
      </c>
      <c r="BF283" s="0" t="n">
        <f aca="false">$B283/BF$1</f>
        <v>0.00256656656656657</v>
      </c>
      <c r="BG283" s="0" t="n">
        <f aca="false">$B283/BG$1</f>
        <v>0.00252114060963619</v>
      </c>
      <c r="BH283" s="0" t="n">
        <f aca="false">$B283/BH$1</f>
        <v>0.00247729468599034</v>
      </c>
      <c r="BI283" s="0" t="n">
        <f aca="false">$B283/BI$1</f>
        <v>0.0024349477682811</v>
      </c>
      <c r="BJ283" s="0" t="n">
        <f aca="false">$B283/BJ$1</f>
        <v>0.00239402427637722</v>
      </c>
      <c r="BL283" s="0" t="n">
        <f aca="false">IF($B$282=1,COUNTIF(C283:BJ283,"&gt;="&amp;$C$282),0)</f>
        <v>34</v>
      </c>
      <c r="BM283" s="0" t="n">
        <f aca="false">IF($B$282=1,IF(OR(BS283&gt;=Settings!$B$5,Settings!$C$14&gt;0),MAX(BL283,Settings!$C$14),0),0)</f>
        <v>34</v>
      </c>
      <c r="BN283" s="0" t="n">
        <f aca="false">IF($B$282=1,IF(OR(BS283&gt;=Settings!$B$5,Settings!$C$14&gt;0),MAX(0,(2*MAX(BL283,Settings!$C$14)+1)*$C$282-BS283),MAX(0,Settings!$B$5-BS283)),"")</f>
        <v>0.000311111111111095</v>
      </c>
      <c r="BO283" s="0" t="n">
        <f aca="false">IF($B$282=1,IF(OR(BS283&gt;=Settings!$B$5,Settings!$C$14&gt;0),IF(BL283&lt;=Settings!$C$14,"Protected by electorates",IF(Settings!$C$14=0,MIN(BS283-(2*BL283-1)*$D$282,BS283-Settings!$B$5),BS283-(2*BL283-1)*$D$282)),""),"")</f>
        <v>0.00825764895330111</v>
      </c>
      <c r="BP283" s="0" t="n">
        <f aca="false">IF($B$282=1,IF(OR(BS283&gt;=Settings!$B$5,Settings!$C$14&gt;0),MAX(0,MIN(1,(BS283/$C$282-(2*MAX(BL283,Settings!$C$14)-1))/2)),MIN(1,BS283/Settings!$B$5)),"")</f>
        <v>0.962365591397848</v>
      </c>
      <c r="BQ283" s="0" t="n">
        <f aca="false">IF(AND($B$282=1,COUNTIF(C283:BJ283,$C$282)&gt;0),1,0)</f>
        <v>0</v>
      </c>
      <c r="BR283" s="0" t="n">
        <f aca="false">IF(AND($B$282=1,COUNTIF(C283:BJ283,$D$282)&gt;0),1,0)</f>
        <v>1</v>
      </c>
      <c r="BS283" s="0" t="n">
        <f aca="false">N('Seat Calculator'!E8)</f>
        <v>0.284888888888889</v>
      </c>
      <c r="BT283" s="0" t="str">
        <f aca="false">IF(OR(BS283&gt;=Settings!$B$5,Settings!$C$14&gt;0),"Next seat","Threshold")</f>
        <v>Next seat</v>
      </c>
    </row>
    <row r="284" customFormat="false" ht="15" hidden="false" customHeight="false" outlineLevel="0" collapsed="false">
      <c r="A284" s="0" t="s">
        <v>43</v>
      </c>
      <c r="B284" s="0" t="n">
        <f aca="false">IF(OR(BS284&gt;=Settings!$B$5,Settings!$C$15&gt;0),BS284,0)</f>
        <v>0.279333333333333</v>
      </c>
      <c r="C284" s="0" t="n">
        <f aca="false">$B284/C$1</f>
        <v>0.279333333333333</v>
      </c>
      <c r="D284" s="0" t="n">
        <f aca="false">$B284/D$1</f>
        <v>0.0931111111111111</v>
      </c>
      <c r="E284" s="0" t="n">
        <f aca="false">$B284/E$1</f>
        <v>0.0558666666666667</v>
      </c>
      <c r="F284" s="0" t="n">
        <f aca="false">$B284/F$1</f>
        <v>0.0399047619047619</v>
      </c>
      <c r="G284" s="0" t="n">
        <f aca="false">$B284/G$1</f>
        <v>0.031037037037037</v>
      </c>
      <c r="H284" s="0" t="n">
        <f aca="false">$B284/H$1</f>
        <v>0.0253939393939394</v>
      </c>
      <c r="I284" s="0" t="n">
        <f aca="false">$B284/I$1</f>
        <v>0.0214871794871795</v>
      </c>
      <c r="J284" s="0" t="n">
        <f aca="false">$B284/J$1</f>
        <v>0.0186222222222222</v>
      </c>
      <c r="K284" s="0" t="n">
        <f aca="false">$B284/K$1</f>
        <v>0.0164313725490196</v>
      </c>
      <c r="L284" s="0" t="n">
        <f aca="false">$B284/L$1</f>
        <v>0.0147017543859649</v>
      </c>
      <c r="M284" s="0" t="n">
        <f aca="false">$B284/M$1</f>
        <v>0.0133015873015873</v>
      </c>
      <c r="N284" s="0" t="n">
        <f aca="false">$B284/N$1</f>
        <v>0.0121449275362319</v>
      </c>
      <c r="O284" s="0" t="n">
        <f aca="false">$B284/O$1</f>
        <v>0.0111733333333333</v>
      </c>
      <c r="P284" s="0" t="n">
        <f aca="false">$B284/P$1</f>
        <v>0.0103456790123457</v>
      </c>
      <c r="Q284" s="0" t="n">
        <f aca="false">$B284/Q$1</f>
        <v>0.00963218390804598</v>
      </c>
      <c r="R284" s="0" t="n">
        <f aca="false">$B284/R$1</f>
        <v>0.00901075268817204</v>
      </c>
      <c r="S284" s="0" t="n">
        <f aca="false">$B284/S$1</f>
        <v>0.00846464646464647</v>
      </c>
      <c r="T284" s="0" t="n">
        <f aca="false">$B284/T$1</f>
        <v>0.00798095238095238</v>
      </c>
      <c r="U284" s="0" t="n">
        <f aca="false">$B284/U$1</f>
        <v>0.00754954954954955</v>
      </c>
      <c r="V284" s="0" t="n">
        <f aca="false">$B284/V$1</f>
        <v>0.00716239316239316</v>
      </c>
      <c r="W284" s="0" t="n">
        <f aca="false">$B284/W$1</f>
        <v>0.0068130081300813</v>
      </c>
      <c r="X284" s="0" t="n">
        <f aca="false">$B284/X$1</f>
        <v>0.00649612403100775</v>
      </c>
      <c r="Y284" s="0" t="n">
        <f aca="false">$B284/Y$1</f>
        <v>0.00620740740740741</v>
      </c>
      <c r="Z284" s="0" t="n">
        <f aca="false">$B284/Z$1</f>
        <v>0.00594326241134752</v>
      </c>
      <c r="AA284" s="0" t="n">
        <f aca="false">$B284/AA$1</f>
        <v>0.00570068027210885</v>
      </c>
      <c r="AB284" s="0" t="n">
        <f aca="false">$B284/AB$1</f>
        <v>0.00547712418300654</v>
      </c>
      <c r="AC284" s="0" t="n">
        <f aca="false">$B284/AC$1</f>
        <v>0.00527044025157233</v>
      </c>
      <c r="AD284" s="0" t="n">
        <f aca="false">$B284/AD$1</f>
        <v>0.00507878787878788</v>
      </c>
      <c r="AE284" s="0" t="n">
        <f aca="false">$B284/AE$1</f>
        <v>0.00490058479532164</v>
      </c>
      <c r="AF284" s="0" t="n">
        <f aca="false">$B284/AF$1</f>
        <v>0.00473446327683616</v>
      </c>
      <c r="AG284" s="0" t="n">
        <f aca="false">$B284/AG$1</f>
        <v>0.0045792349726776</v>
      </c>
      <c r="AH284" s="0" t="n">
        <f aca="false">$B284/AH$1</f>
        <v>0.00443386243386244</v>
      </c>
      <c r="AI284" s="0" t="n">
        <f aca="false">$B284/AI$1</f>
        <v>0.0042974358974359</v>
      </c>
      <c r="AJ284" s="0" t="n">
        <f aca="false">$B284/AJ$1</f>
        <v>0.00416915422885572</v>
      </c>
      <c r="AK284" s="0" t="n">
        <f aca="false">$B284/AK$1</f>
        <v>0.00404830917874396</v>
      </c>
      <c r="AL284" s="0" t="n">
        <f aca="false">$B284/AL$1</f>
        <v>0.00393427230046948</v>
      </c>
      <c r="AM284" s="0" t="n">
        <f aca="false">$B284/AM$1</f>
        <v>0.00382648401826484</v>
      </c>
      <c r="AN284" s="0" t="n">
        <f aca="false">$B284/AN$1</f>
        <v>0.00372444444444445</v>
      </c>
      <c r="AO284" s="0" t="n">
        <f aca="false">$B284/AO$1</f>
        <v>0.00362770562770563</v>
      </c>
      <c r="AP284" s="0" t="n">
        <f aca="false">$B284/AP$1</f>
        <v>0.00353586497890295</v>
      </c>
      <c r="AQ284" s="0" t="n">
        <f aca="false">$B284/AQ$1</f>
        <v>0.00344855967078189</v>
      </c>
      <c r="AR284" s="0" t="n">
        <f aca="false">$B284/AR$1</f>
        <v>0.00336546184738956</v>
      </c>
      <c r="AS284" s="0" t="n">
        <f aca="false">$B284/AS$1</f>
        <v>0.00328627450980392</v>
      </c>
      <c r="AT284" s="0" t="n">
        <f aca="false">$B284/AT$1</f>
        <v>0.00321072796934866</v>
      </c>
      <c r="AU284" s="0" t="n">
        <f aca="false">$B284/AU$1</f>
        <v>0.00313857677902622</v>
      </c>
      <c r="AV284" s="0" t="n">
        <f aca="false">$B284/AV$1</f>
        <v>0.00306959706959707</v>
      </c>
      <c r="AW284" s="0" t="n">
        <f aca="false">$B284/AW$1</f>
        <v>0.00300358422939068</v>
      </c>
      <c r="AX284" s="0" t="n">
        <f aca="false">$B284/AX$1</f>
        <v>0.00294035087719298</v>
      </c>
      <c r="AY284" s="0" t="n">
        <f aca="false">$B284/AY$1</f>
        <v>0.00287972508591065</v>
      </c>
      <c r="AZ284" s="0" t="n">
        <f aca="false">$B284/AZ$1</f>
        <v>0.00282154882154882</v>
      </c>
      <c r="BA284" s="0" t="n">
        <f aca="false">$B284/BA$1</f>
        <v>0.00276567656765677</v>
      </c>
      <c r="BB284" s="0" t="n">
        <f aca="false">$B284/BB$1</f>
        <v>0.00271197411003236</v>
      </c>
      <c r="BC284" s="0" t="n">
        <f aca="false">$B284/BC$1</f>
        <v>0.00266031746031746</v>
      </c>
      <c r="BD284" s="0" t="n">
        <f aca="false">$B284/BD$1</f>
        <v>0.00261059190031153</v>
      </c>
      <c r="BE284" s="0" t="n">
        <f aca="false">$B284/BE$1</f>
        <v>0.00256269113149847</v>
      </c>
      <c r="BF284" s="0" t="n">
        <f aca="false">$B284/BF$1</f>
        <v>0.00251651651651652</v>
      </c>
      <c r="BG284" s="0" t="n">
        <f aca="false">$B284/BG$1</f>
        <v>0.00247197640117994</v>
      </c>
      <c r="BH284" s="0" t="n">
        <f aca="false">$B284/BH$1</f>
        <v>0.00242898550724638</v>
      </c>
      <c r="BI284" s="0" t="n">
        <f aca="false">$B284/BI$1</f>
        <v>0.00238746438746439</v>
      </c>
      <c r="BJ284" s="0" t="n">
        <f aca="false">$B284/BJ$1</f>
        <v>0.00234733893557423</v>
      </c>
      <c r="BL284" s="0" t="n">
        <f aca="false">IF($B$282=1,COUNTIF(C284:BJ284,"&gt;="&amp;$C$282),0)</f>
        <v>34</v>
      </c>
      <c r="BM284" s="0" t="n">
        <f aca="false">IF($B$282=1,IF(OR(BS284&gt;=Settings!$B$5,Settings!$C$15&gt;0),MAX(BL284,Settings!$C$15),0),0)</f>
        <v>34</v>
      </c>
      <c r="BN284" s="0" t="n">
        <f aca="false">IF($B$282=1,IF(OR(BS284&gt;=Settings!$B$5,Settings!$C$15&gt;0),MAX(0,(2*MAX(BL284,Settings!$C$15)+1)*$C$282-BS284),MAX(0,Settings!$B$5-BS284)),"")</f>
        <v>0.00586666666666663</v>
      </c>
      <c r="BO284" s="0" t="n">
        <f aca="false">IF($B$282=1,IF(OR(BS284&gt;=Settings!$B$5,Settings!$C$15&gt;0),IF(BL284&lt;=Settings!$C$15,"Protected by electorates",IF(Settings!$C$15=0,MIN(BS284-(2*BL284-1)*$D$282,BS284-Settings!$B$5),BS284-(2*BL284-1)*$D$282)),""),"")</f>
        <v>0.00270209339774558</v>
      </c>
      <c r="BP284" s="0" t="n">
        <f aca="false">IF($B$282=1,IF(OR(BS284&gt;=Settings!$B$5,Settings!$C$15&gt;0),MAX(0,MIN(1,(BS284/$C$282-(2*MAX(BL284,Settings!$C$15)-1))/2)),MIN(1,BS284/Settings!$B$5)),"")</f>
        <v>0.290322580645167</v>
      </c>
      <c r="BQ284" s="0" t="n">
        <f aca="false">IF(AND($B$282=1,COUNTIF(C284:BJ284,$C$282)&gt;0),1,0)</f>
        <v>0</v>
      </c>
      <c r="BR284" s="0" t="n">
        <f aca="false">IF(AND($B$282=1,COUNTIF(C284:BJ284,$D$282)&gt;0),1,0)</f>
        <v>0</v>
      </c>
      <c r="BS284" s="0" t="n">
        <f aca="false">N('Seat Calculator'!E9)</f>
        <v>0.279333333333333</v>
      </c>
      <c r="BT284" s="0" t="str">
        <f aca="false">IF(OR(BS284&gt;=Settings!$B$5,Settings!$C$15&gt;0),"Next seat","Threshold")</f>
        <v>Next seat</v>
      </c>
    </row>
    <row r="285" customFormat="false" ht="15" hidden="false" customHeight="false" outlineLevel="0" collapsed="false">
      <c r="A285" s="0" t="s">
        <v>45</v>
      </c>
      <c r="B285" s="0" t="n">
        <f aca="false">IF(OR(BS285&gt;=Settings!$B$5,Settings!$C$16&gt;0),BS285,0)</f>
        <v>0.145555555555556</v>
      </c>
      <c r="C285" s="0" t="n">
        <f aca="false">$B285/C$1</f>
        <v>0.145555555555556</v>
      </c>
      <c r="D285" s="0" t="n">
        <f aca="false">$B285/D$1</f>
        <v>0.0485185185185185</v>
      </c>
      <c r="E285" s="0" t="n">
        <f aca="false">$B285/E$1</f>
        <v>0.0291111111111111</v>
      </c>
      <c r="F285" s="0" t="n">
        <f aca="false">$B285/F$1</f>
        <v>0.0207936507936508</v>
      </c>
      <c r="G285" s="0" t="n">
        <f aca="false">$B285/G$1</f>
        <v>0.0161728395061728</v>
      </c>
      <c r="H285" s="0" t="n">
        <f aca="false">$B285/H$1</f>
        <v>0.0132323232323232</v>
      </c>
      <c r="I285" s="0" t="n">
        <f aca="false">$B285/I$1</f>
        <v>0.0111965811965812</v>
      </c>
      <c r="J285" s="0" t="n">
        <f aca="false">$B285/J$1</f>
        <v>0.0097037037037037</v>
      </c>
      <c r="K285" s="0" t="n">
        <f aca="false">$B285/K$1</f>
        <v>0.00856209150326797</v>
      </c>
      <c r="L285" s="0" t="n">
        <f aca="false">$B285/L$1</f>
        <v>0.00766081871345029</v>
      </c>
      <c r="M285" s="0" t="n">
        <f aca="false">$B285/M$1</f>
        <v>0.00693121693121693</v>
      </c>
      <c r="N285" s="0" t="n">
        <f aca="false">$B285/N$1</f>
        <v>0.00632850241545894</v>
      </c>
      <c r="O285" s="0" t="n">
        <f aca="false">$B285/O$1</f>
        <v>0.00582222222222222</v>
      </c>
      <c r="P285" s="0" t="n">
        <f aca="false">$B285/P$1</f>
        <v>0.00539094650205761</v>
      </c>
      <c r="Q285" s="0" t="n">
        <f aca="false">$B285/Q$1</f>
        <v>0.00501915708812261</v>
      </c>
      <c r="R285" s="0" t="n">
        <f aca="false">$B285/R$1</f>
        <v>0.00469534050179212</v>
      </c>
      <c r="S285" s="0" t="n">
        <f aca="false">$B285/S$1</f>
        <v>0.00441077441077441</v>
      </c>
      <c r="T285" s="0" t="n">
        <f aca="false">$B285/T$1</f>
        <v>0.00415873015873016</v>
      </c>
      <c r="U285" s="0" t="n">
        <f aca="false">$B285/U$1</f>
        <v>0.00393393393393393</v>
      </c>
      <c r="V285" s="0" t="n">
        <f aca="false">$B285/V$1</f>
        <v>0.00373219373219373</v>
      </c>
      <c r="W285" s="0" t="n">
        <f aca="false">$B285/W$1</f>
        <v>0.00355013550135501</v>
      </c>
      <c r="X285" s="0" t="n">
        <f aca="false">$B285/X$1</f>
        <v>0.00338501291989664</v>
      </c>
      <c r="Y285" s="0" t="n">
        <f aca="false">$B285/Y$1</f>
        <v>0.00323456790123457</v>
      </c>
      <c r="Z285" s="0" t="n">
        <f aca="false">$B285/Z$1</f>
        <v>0.00309692671394799</v>
      </c>
      <c r="AA285" s="0" t="n">
        <f aca="false">$B285/AA$1</f>
        <v>0.00297052154195011</v>
      </c>
      <c r="AB285" s="0" t="n">
        <f aca="false">$B285/AB$1</f>
        <v>0.00285403050108932</v>
      </c>
      <c r="AC285" s="0" t="n">
        <f aca="false">$B285/AC$1</f>
        <v>0.00274633123689727</v>
      </c>
      <c r="AD285" s="0" t="n">
        <f aca="false">$B285/AD$1</f>
        <v>0.00264646464646465</v>
      </c>
      <c r="AE285" s="0" t="n">
        <f aca="false">$B285/AE$1</f>
        <v>0.00255360623781676</v>
      </c>
      <c r="AF285" s="0" t="n">
        <f aca="false">$B285/AF$1</f>
        <v>0.00246704331450094</v>
      </c>
      <c r="AG285" s="0" t="n">
        <f aca="false">$B285/AG$1</f>
        <v>0.00238615664845173</v>
      </c>
      <c r="AH285" s="0" t="n">
        <f aca="false">$B285/AH$1</f>
        <v>0.00231040564373898</v>
      </c>
      <c r="AI285" s="0" t="n">
        <f aca="false">$B285/AI$1</f>
        <v>0.00223931623931624</v>
      </c>
      <c r="AJ285" s="0" t="n">
        <f aca="false">$B285/AJ$1</f>
        <v>0.00217247097844113</v>
      </c>
      <c r="AK285" s="0" t="n">
        <f aca="false">$B285/AK$1</f>
        <v>0.00210950080515298</v>
      </c>
      <c r="AL285" s="0" t="n">
        <f aca="false">$B285/AL$1</f>
        <v>0.00205007824726135</v>
      </c>
      <c r="AM285" s="0" t="n">
        <f aca="false">$B285/AM$1</f>
        <v>0.00199391171993912</v>
      </c>
      <c r="AN285" s="0" t="n">
        <f aca="false">$B285/AN$1</f>
        <v>0.00194074074074074</v>
      </c>
      <c r="AO285" s="0" t="n">
        <f aca="false">$B285/AO$1</f>
        <v>0.00189033189033189</v>
      </c>
      <c r="AP285" s="0" t="n">
        <f aca="false">$B285/AP$1</f>
        <v>0.00184247538677918</v>
      </c>
      <c r="AQ285" s="0" t="n">
        <f aca="false">$B285/AQ$1</f>
        <v>0.00179698216735254</v>
      </c>
      <c r="AR285" s="0" t="n">
        <f aca="false">$B285/AR$1</f>
        <v>0.00175368139223561</v>
      </c>
      <c r="AS285" s="0" t="n">
        <f aca="false">$B285/AS$1</f>
        <v>0.00171241830065359</v>
      </c>
      <c r="AT285" s="0" t="n">
        <f aca="false">$B285/AT$1</f>
        <v>0.00167305236270754</v>
      </c>
      <c r="AU285" s="0" t="n">
        <f aca="false">$B285/AU$1</f>
        <v>0.0016354556803995</v>
      </c>
      <c r="AV285" s="0" t="n">
        <f aca="false">$B285/AV$1</f>
        <v>0.0015995115995116</v>
      </c>
      <c r="AW285" s="0" t="n">
        <f aca="false">$B285/AW$1</f>
        <v>0.00156511350059737</v>
      </c>
      <c r="AX285" s="0" t="n">
        <f aca="false">$B285/AX$1</f>
        <v>0.00153216374269006</v>
      </c>
      <c r="AY285" s="0" t="n">
        <f aca="false">$B285/AY$1</f>
        <v>0.00150057273768614</v>
      </c>
      <c r="AZ285" s="0" t="n">
        <f aca="false">$B285/AZ$1</f>
        <v>0.0014702581369248</v>
      </c>
      <c r="BA285" s="0" t="n">
        <f aca="false">$B285/BA$1</f>
        <v>0.00144114411441144</v>
      </c>
      <c r="BB285" s="0" t="n">
        <f aca="false">$B285/BB$1</f>
        <v>0.00141316073354908</v>
      </c>
      <c r="BC285" s="0" t="n">
        <f aca="false">$B285/BC$1</f>
        <v>0.00138624338624339</v>
      </c>
      <c r="BD285" s="0" t="n">
        <f aca="false">$B285/BD$1</f>
        <v>0.00136033229491173</v>
      </c>
      <c r="BE285" s="0" t="n">
        <f aca="false">$B285/BE$1</f>
        <v>0.00133537206931702</v>
      </c>
      <c r="BF285" s="0" t="n">
        <f aca="false">$B285/BF$1</f>
        <v>0.00131131131131131</v>
      </c>
      <c r="BG285" s="0" t="n">
        <f aca="false">$B285/BG$1</f>
        <v>0.00128810226155359</v>
      </c>
      <c r="BH285" s="0" t="n">
        <f aca="false">$B285/BH$1</f>
        <v>0.00126570048309179</v>
      </c>
      <c r="BI285" s="0" t="n">
        <f aca="false">$B285/BI$1</f>
        <v>0.00124406457739791</v>
      </c>
      <c r="BJ285" s="0" t="n">
        <f aca="false">$B285/BJ$1</f>
        <v>0.00122315592903828</v>
      </c>
      <c r="BL285" s="0" t="n">
        <f aca="false">IF($B$282=1,COUNTIF(C285:BJ285,"&gt;="&amp;$C$282),0)</f>
        <v>18</v>
      </c>
      <c r="BM285" s="0" t="n">
        <f aca="false">IF($B$282=1,IF(OR(BS285&gt;=Settings!$B$5,Settings!$C$16&gt;0),MAX(BL285,Settings!$C$16),0),0)</f>
        <v>18</v>
      </c>
      <c r="BN285" s="0" t="n">
        <f aca="false">IF($B$282=1,IF(OR(BS285&gt;=Settings!$B$5,Settings!$C$16&gt;0),MAX(0,(2*MAX(BL285,Settings!$C$16)+1)*$C$282-BS285),MAX(0,Settings!$B$5-BS285)),"")</f>
        <v>0.00737777777777779</v>
      </c>
      <c r="BO285" s="0" t="n">
        <f aca="false">IF($B$282=1,IF(OR(BS285&gt;=Settings!$B$5,Settings!$C$16&gt;0),IF(BL285&lt;=Settings!$C$16,"Protected by electorates",IF(Settings!$C$16=0,MIN(BS285-(2*BL285-1)*$D$282,BS285-Settings!$B$5),BS285-(2*BL285-1)*$D$282)),""),"")</f>
        <v>0.0010466988727858</v>
      </c>
      <c r="BP285" s="0" t="n">
        <f aca="false">IF($B$282=1,IF(OR(BS285&gt;=Settings!$B$5,Settings!$C$16&gt;0),MAX(0,MIN(1,(BS285/$C$282-(2*MAX(BL285,Settings!$C$16)-1))/2)),MIN(1,BS285/Settings!$B$5)),"")</f>
        <v>0.107526881720428</v>
      </c>
      <c r="BQ285" s="0" t="n">
        <f aca="false">IF(AND($B$282=1,COUNTIF(C285:BJ285,$C$282)&gt;0),1,0)</f>
        <v>0</v>
      </c>
      <c r="BR285" s="0" t="n">
        <f aca="false">IF(AND($B$282=1,COUNTIF(C285:BJ285,$D$282)&gt;0),1,0)</f>
        <v>0</v>
      </c>
      <c r="BS285" s="0" t="n">
        <f aca="false">N('Seat Calculator'!E10)</f>
        <v>0.145555555555556</v>
      </c>
      <c r="BT285" s="0" t="str">
        <f aca="false">IF(OR(BS285&gt;=Settings!$B$5,Settings!$C$16&gt;0),"Next seat","Threshold")</f>
        <v>Next seat</v>
      </c>
    </row>
    <row r="286" customFormat="false" ht="15" hidden="false" customHeight="false" outlineLevel="0" collapsed="false">
      <c r="A286" s="0" t="s">
        <v>46</v>
      </c>
      <c r="B286" s="0" t="n">
        <f aca="false">IF(OR(BS286&gt;=Settings!$B$5,Settings!$C$17&gt;0),BS286,0)</f>
        <v>0.0963333333333333</v>
      </c>
      <c r="C286" s="0" t="n">
        <f aca="false">$B286/C$1</f>
        <v>0.0963333333333333</v>
      </c>
      <c r="D286" s="0" t="n">
        <f aca="false">$B286/D$1</f>
        <v>0.0321111111111111</v>
      </c>
      <c r="E286" s="0" t="n">
        <f aca="false">$B286/E$1</f>
        <v>0.0192666666666667</v>
      </c>
      <c r="F286" s="0" t="n">
        <f aca="false">$B286/F$1</f>
        <v>0.0137619047619048</v>
      </c>
      <c r="G286" s="0" t="n">
        <f aca="false">$B286/G$1</f>
        <v>0.0107037037037037</v>
      </c>
      <c r="H286" s="0" t="n">
        <f aca="false">$B286/H$1</f>
        <v>0.00875757575757576</v>
      </c>
      <c r="I286" s="0" t="n">
        <f aca="false">$B286/I$1</f>
        <v>0.00741025641025641</v>
      </c>
      <c r="J286" s="0" t="n">
        <f aca="false">$B286/J$1</f>
        <v>0.00642222222222222</v>
      </c>
      <c r="K286" s="0" t="n">
        <f aca="false">$B286/K$1</f>
        <v>0.00566666666666667</v>
      </c>
      <c r="L286" s="0" t="n">
        <f aca="false">$B286/L$1</f>
        <v>0.00507017543859649</v>
      </c>
      <c r="M286" s="0" t="n">
        <f aca="false">$B286/M$1</f>
        <v>0.00458730158730159</v>
      </c>
      <c r="N286" s="0" t="n">
        <f aca="false">$B286/N$1</f>
        <v>0.00418840579710145</v>
      </c>
      <c r="O286" s="0" t="n">
        <f aca="false">$B286/O$1</f>
        <v>0.00385333333333333</v>
      </c>
      <c r="P286" s="0" t="n">
        <f aca="false">$B286/P$1</f>
        <v>0.0035679012345679</v>
      </c>
      <c r="Q286" s="0" t="n">
        <f aca="false">$B286/Q$1</f>
        <v>0.00332183908045977</v>
      </c>
      <c r="R286" s="0" t="n">
        <f aca="false">$B286/R$1</f>
        <v>0.00310752688172043</v>
      </c>
      <c r="S286" s="0" t="n">
        <f aca="false">$B286/S$1</f>
        <v>0.00291919191919192</v>
      </c>
      <c r="T286" s="0" t="n">
        <f aca="false">$B286/T$1</f>
        <v>0.00275238095238095</v>
      </c>
      <c r="U286" s="0" t="n">
        <f aca="false">$B286/U$1</f>
        <v>0.0026036036036036</v>
      </c>
      <c r="V286" s="0" t="n">
        <f aca="false">$B286/V$1</f>
        <v>0.00247008547008547</v>
      </c>
      <c r="W286" s="0" t="n">
        <f aca="false">$B286/W$1</f>
        <v>0.00234959349593496</v>
      </c>
      <c r="X286" s="0" t="n">
        <f aca="false">$B286/X$1</f>
        <v>0.00224031007751938</v>
      </c>
      <c r="Y286" s="0" t="n">
        <f aca="false">$B286/Y$1</f>
        <v>0.00214074074074074</v>
      </c>
      <c r="Z286" s="0" t="n">
        <f aca="false">$B286/Z$1</f>
        <v>0.00204964539007092</v>
      </c>
      <c r="AA286" s="0" t="n">
        <f aca="false">$B286/AA$1</f>
        <v>0.00196598639455782</v>
      </c>
      <c r="AB286" s="0" t="n">
        <f aca="false">$B286/AB$1</f>
        <v>0.00188888888888889</v>
      </c>
      <c r="AC286" s="0" t="n">
        <f aca="false">$B286/AC$1</f>
        <v>0.00181761006289308</v>
      </c>
      <c r="AD286" s="0" t="n">
        <f aca="false">$B286/AD$1</f>
        <v>0.00175151515151515</v>
      </c>
      <c r="AE286" s="0" t="n">
        <f aca="false">$B286/AE$1</f>
        <v>0.00169005847953216</v>
      </c>
      <c r="AF286" s="0" t="n">
        <f aca="false">$B286/AF$1</f>
        <v>0.00163276836158192</v>
      </c>
      <c r="AG286" s="0" t="n">
        <f aca="false">$B286/AG$1</f>
        <v>0.0015792349726776</v>
      </c>
      <c r="AH286" s="0" t="n">
        <f aca="false">$B286/AH$1</f>
        <v>0.00152910052910053</v>
      </c>
      <c r="AI286" s="0" t="n">
        <f aca="false">$B286/AI$1</f>
        <v>0.00148205128205128</v>
      </c>
      <c r="AJ286" s="0" t="n">
        <f aca="false">$B286/AJ$1</f>
        <v>0.00143781094527363</v>
      </c>
      <c r="AK286" s="0" t="n">
        <f aca="false">$B286/AK$1</f>
        <v>0.00139613526570048</v>
      </c>
      <c r="AL286" s="0" t="n">
        <f aca="false">$B286/AL$1</f>
        <v>0.00135680751173709</v>
      </c>
      <c r="AM286" s="0" t="n">
        <f aca="false">$B286/AM$1</f>
        <v>0.00131963470319635</v>
      </c>
      <c r="AN286" s="0" t="n">
        <f aca="false">$B286/AN$1</f>
        <v>0.00128444444444444</v>
      </c>
      <c r="AO286" s="0" t="n">
        <f aca="false">$B286/AO$1</f>
        <v>0.00125108225108225</v>
      </c>
      <c r="AP286" s="0" t="n">
        <f aca="false">$B286/AP$1</f>
        <v>0.00121940928270042</v>
      </c>
      <c r="AQ286" s="0" t="n">
        <f aca="false">$B286/AQ$1</f>
        <v>0.00118930041152263</v>
      </c>
      <c r="AR286" s="0" t="n">
        <f aca="false">$B286/AR$1</f>
        <v>0.00116064257028112</v>
      </c>
      <c r="AS286" s="0" t="n">
        <f aca="false">$B286/AS$1</f>
        <v>0.00113333333333333</v>
      </c>
      <c r="AT286" s="0" t="n">
        <f aca="false">$B286/AT$1</f>
        <v>0.00110727969348659</v>
      </c>
      <c r="AU286" s="0" t="n">
        <f aca="false">$B286/AU$1</f>
        <v>0.00108239700374532</v>
      </c>
      <c r="AV286" s="0" t="n">
        <f aca="false">$B286/AV$1</f>
        <v>0.00105860805860806</v>
      </c>
      <c r="AW286" s="0" t="n">
        <f aca="false">$B286/AW$1</f>
        <v>0.00103584229390681</v>
      </c>
      <c r="AX286" s="0" t="n">
        <f aca="false">$B286/AX$1</f>
        <v>0.0010140350877193</v>
      </c>
      <c r="AY286" s="0" t="n">
        <f aca="false">$B286/AY$1</f>
        <v>0.000993127147766323</v>
      </c>
      <c r="AZ286" s="0" t="n">
        <f aca="false">$B286/AZ$1</f>
        <v>0.000973063973063973</v>
      </c>
      <c r="BA286" s="0" t="n">
        <f aca="false">$B286/BA$1</f>
        <v>0.000953795379537954</v>
      </c>
      <c r="BB286" s="0" t="n">
        <f aca="false">$B286/BB$1</f>
        <v>0.000935275080906149</v>
      </c>
      <c r="BC286" s="0" t="n">
        <f aca="false">$B286/BC$1</f>
        <v>0.000917460317460317</v>
      </c>
      <c r="BD286" s="0" t="n">
        <f aca="false">$B286/BD$1</f>
        <v>0.000900311526479751</v>
      </c>
      <c r="BE286" s="0" t="n">
        <f aca="false">$B286/BE$1</f>
        <v>0.000883792048929664</v>
      </c>
      <c r="BF286" s="0" t="n">
        <f aca="false">$B286/BF$1</f>
        <v>0.000867867867867868</v>
      </c>
      <c r="BG286" s="0" t="n">
        <f aca="false">$B286/BG$1</f>
        <v>0.000852507374631268</v>
      </c>
      <c r="BH286" s="0" t="n">
        <f aca="false">$B286/BH$1</f>
        <v>0.00083768115942029</v>
      </c>
      <c r="BI286" s="0" t="n">
        <f aca="false">$B286/BI$1</f>
        <v>0.000823361823361823</v>
      </c>
      <c r="BJ286" s="0" t="n">
        <f aca="false">$B286/BJ$1</f>
        <v>0.00080952380952381</v>
      </c>
      <c r="BL286" s="0" t="n">
        <f aca="false">IF($B$282=1,COUNTIF(C286:BJ286,"&gt;="&amp;$C$282),0)</f>
        <v>12</v>
      </c>
      <c r="BM286" s="0" t="n">
        <f aca="false">IF($B$282=1,IF(OR(BS286&gt;=Settings!$B$5,Settings!$C$17&gt;0),MAX(BL286,Settings!$C$17),0),0)</f>
        <v>12</v>
      </c>
      <c r="BN286" s="0" t="n">
        <f aca="false">IF($B$282=1,IF(OR(BS286&gt;=Settings!$B$5,Settings!$C$17&gt;0),MAX(0,(2*MAX(BL286,Settings!$C$17)+1)*$C$282-BS286),MAX(0,Settings!$B$5-BS286)),"")</f>
        <v>0.00700000000000001</v>
      </c>
      <c r="BO286" s="0" t="n">
        <f aca="false">IF($B$282=1,IF(OR(BS286&gt;=Settings!$B$5,Settings!$C$17&gt;0),IF(BL286&lt;=Settings!$C$17,"Protected by electorates",IF(Settings!$C$17=0,MIN(BS286-(2*BL286-1)*$D$282,BS286-Settings!$B$5),BS286-(2*BL286-1)*$D$282)),""),"")</f>
        <v>0.00137037037037036</v>
      </c>
      <c r="BP286" s="0" t="n">
        <f aca="false">IF($B$282=1,IF(OR(BS286&gt;=Settings!$B$5,Settings!$C$17&gt;0),MAX(0,MIN(1,(BS286/$C$282-(2*MAX(BL286,Settings!$C$17)-1))/2)),MIN(1,BS286/Settings!$B$5)),"")</f>
        <v>0.153225806451612</v>
      </c>
      <c r="BQ286" s="0" t="n">
        <f aca="false">IF(AND($B$282=1,COUNTIF(C286:BJ286,$C$282)&gt;0),1,0)</f>
        <v>0</v>
      </c>
      <c r="BR286" s="0" t="n">
        <f aca="false">IF(AND($B$282=1,COUNTIF(C286:BJ286,$D$282)&gt;0),1,0)</f>
        <v>0</v>
      </c>
      <c r="BS286" s="0" t="n">
        <f aca="false">N('Seat Calculator'!E11)</f>
        <v>0.0963333333333333</v>
      </c>
      <c r="BT286" s="0" t="str">
        <f aca="false">IF(OR(BS286&gt;=Settings!$B$5,Settings!$C$17&gt;0),"Next seat","Threshold")</f>
        <v>Next seat</v>
      </c>
    </row>
    <row r="287" customFormat="false" ht="15" hidden="false" customHeight="false" outlineLevel="0" collapsed="false">
      <c r="A287" s="0" t="s">
        <v>48</v>
      </c>
      <c r="B287" s="0" t="n">
        <f aca="false">IF(OR(BS287&gt;=Settings!$B$5,Settings!$C$18&gt;0),BS287,0)</f>
        <v>0.103333333333333</v>
      </c>
      <c r="C287" s="0" t="n">
        <f aca="false">$B287/C$1</f>
        <v>0.103333333333333</v>
      </c>
      <c r="D287" s="0" t="n">
        <f aca="false">$B287/D$1</f>
        <v>0.0344444444444444</v>
      </c>
      <c r="E287" s="0" t="n">
        <f aca="false">$B287/E$1</f>
        <v>0.0206666666666667</v>
      </c>
      <c r="F287" s="0" t="n">
        <f aca="false">$B287/F$1</f>
        <v>0.0147619047619048</v>
      </c>
      <c r="G287" s="0" t="n">
        <f aca="false">$B287/G$1</f>
        <v>0.0114814814814815</v>
      </c>
      <c r="H287" s="0" t="n">
        <f aca="false">$B287/H$1</f>
        <v>0.00939393939393939</v>
      </c>
      <c r="I287" s="0" t="n">
        <f aca="false">$B287/I$1</f>
        <v>0.00794871794871795</v>
      </c>
      <c r="J287" s="0" t="n">
        <f aca="false">$B287/J$1</f>
        <v>0.00688888888888889</v>
      </c>
      <c r="K287" s="0" t="n">
        <f aca="false">$B287/K$1</f>
        <v>0.00607843137254902</v>
      </c>
      <c r="L287" s="0" t="n">
        <f aca="false">$B287/L$1</f>
        <v>0.00543859649122807</v>
      </c>
      <c r="M287" s="0" t="n">
        <f aca="false">$B287/M$1</f>
        <v>0.00492063492063492</v>
      </c>
      <c r="N287" s="0" t="n">
        <f aca="false">$B287/N$1</f>
        <v>0.00449275362318841</v>
      </c>
      <c r="O287" s="0" t="n">
        <f aca="false">$B287/O$1</f>
        <v>0.00413333333333333</v>
      </c>
      <c r="P287" s="0" t="n">
        <f aca="false">$B287/P$1</f>
        <v>0.00382716049382716</v>
      </c>
      <c r="Q287" s="0" t="n">
        <f aca="false">$B287/Q$1</f>
        <v>0.0035632183908046</v>
      </c>
      <c r="R287" s="0" t="n">
        <f aca="false">$B287/R$1</f>
        <v>0.00333333333333333</v>
      </c>
      <c r="S287" s="0" t="n">
        <f aca="false">$B287/S$1</f>
        <v>0.00313131313131313</v>
      </c>
      <c r="T287" s="0" t="n">
        <f aca="false">$B287/T$1</f>
        <v>0.00295238095238095</v>
      </c>
      <c r="U287" s="0" t="n">
        <f aca="false">$B287/U$1</f>
        <v>0.00279279279279279</v>
      </c>
      <c r="V287" s="0" t="n">
        <f aca="false">$B287/V$1</f>
        <v>0.00264957264957265</v>
      </c>
      <c r="W287" s="0" t="n">
        <f aca="false">$B287/W$1</f>
        <v>0.00252032520325203</v>
      </c>
      <c r="X287" s="0" t="n">
        <f aca="false">$B287/X$1</f>
        <v>0.0024031007751938</v>
      </c>
      <c r="Y287" s="0" t="n">
        <f aca="false">$B287/Y$1</f>
        <v>0.0022962962962963</v>
      </c>
      <c r="Z287" s="0" t="n">
        <f aca="false">$B287/Z$1</f>
        <v>0.00219858156028369</v>
      </c>
      <c r="AA287" s="0" t="n">
        <f aca="false">$B287/AA$1</f>
        <v>0.00210884353741497</v>
      </c>
      <c r="AB287" s="0" t="n">
        <f aca="false">$B287/AB$1</f>
        <v>0.00202614379084967</v>
      </c>
      <c r="AC287" s="0" t="n">
        <f aca="false">$B287/AC$1</f>
        <v>0.0019496855345912</v>
      </c>
      <c r="AD287" s="0" t="n">
        <f aca="false">$B287/AD$1</f>
        <v>0.00187878787878788</v>
      </c>
      <c r="AE287" s="0" t="n">
        <f aca="false">$B287/AE$1</f>
        <v>0.00181286549707602</v>
      </c>
      <c r="AF287" s="0" t="n">
        <f aca="false">$B287/AF$1</f>
        <v>0.00175141242937853</v>
      </c>
      <c r="AG287" s="0" t="n">
        <f aca="false">$B287/AG$1</f>
        <v>0.00169398907103825</v>
      </c>
      <c r="AH287" s="0" t="n">
        <f aca="false">$B287/AH$1</f>
        <v>0.00164021164021164</v>
      </c>
      <c r="AI287" s="0" t="n">
        <f aca="false">$B287/AI$1</f>
        <v>0.00158974358974359</v>
      </c>
      <c r="AJ287" s="0" t="n">
        <f aca="false">$B287/AJ$1</f>
        <v>0.00154228855721393</v>
      </c>
      <c r="AK287" s="0" t="n">
        <f aca="false">$B287/AK$1</f>
        <v>0.0014975845410628</v>
      </c>
      <c r="AL287" s="0" t="n">
        <f aca="false">$B287/AL$1</f>
        <v>0.00145539906103286</v>
      </c>
      <c r="AM287" s="0" t="n">
        <f aca="false">$B287/AM$1</f>
        <v>0.00141552511415525</v>
      </c>
      <c r="AN287" s="0" t="n">
        <f aca="false">$B287/AN$1</f>
        <v>0.00137777777777778</v>
      </c>
      <c r="AO287" s="0" t="n">
        <f aca="false">$B287/AO$1</f>
        <v>0.00134199134199134</v>
      </c>
      <c r="AP287" s="0" t="n">
        <f aca="false">$B287/AP$1</f>
        <v>0.00130801687763713</v>
      </c>
      <c r="AQ287" s="0" t="n">
        <f aca="false">$B287/AQ$1</f>
        <v>0.00127572016460905</v>
      </c>
      <c r="AR287" s="0" t="n">
        <f aca="false">$B287/AR$1</f>
        <v>0.00124497991967872</v>
      </c>
      <c r="AS287" s="0" t="n">
        <f aca="false">$B287/AS$1</f>
        <v>0.0012156862745098</v>
      </c>
      <c r="AT287" s="0" t="n">
        <f aca="false">$B287/AT$1</f>
        <v>0.00118773946360153</v>
      </c>
      <c r="AU287" s="0" t="n">
        <f aca="false">$B287/AU$1</f>
        <v>0.00116104868913858</v>
      </c>
      <c r="AV287" s="0" t="n">
        <f aca="false">$B287/AV$1</f>
        <v>0.00113553113553114</v>
      </c>
      <c r="AW287" s="0" t="n">
        <f aca="false">$B287/AW$1</f>
        <v>0.00111111111111111</v>
      </c>
      <c r="AX287" s="0" t="n">
        <f aca="false">$B287/AX$1</f>
        <v>0.00108771929824561</v>
      </c>
      <c r="AY287" s="0" t="n">
        <f aca="false">$B287/AY$1</f>
        <v>0.00106529209621993</v>
      </c>
      <c r="AZ287" s="0" t="n">
        <f aca="false">$B287/AZ$1</f>
        <v>0.00104377104377104</v>
      </c>
      <c r="BA287" s="0" t="n">
        <f aca="false">$B287/BA$1</f>
        <v>0.00102310231023102</v>
      </c>
      <c r="BB287" s="0" t="n">
        <f aca="false">$B287/BB$1</f>
        <v>0.00100323624595469</v>
      </c>
      <c r="BC287" s="0" t="n">
        <f aca="false">$B287/BC$1</f>
        <v>0.000984126984126984</v>
      </c>
      <c r="BD287" s="0" t="n">
        <f aca="false">$B287/BD$1</f>
        <v>0.000965732087227414</v>
      </c>
      <c r="BE287" s="0" t="n">
        <f aca="false">$B287/BE$1</f>
        <v>0.000948012232415902</v>
      </c>
      <c r="BF287" s="0" t="n">
        <f aca="false">$B287/BF$1</f>
        <v>0.000930930930930931</v>
      </c>
      <c r="BG287" s="0" t="n">
        <f aca="false">$B287/BG$1</f>
        <v>0.000914454277286136</v>
      </c>
      <c r="BH287" s="0" t="n">
        <f aca="false">$B287/BH$1</f>
        <v>0.000898550724637681</v>
      </c>
      <c r="BI287" s="0" t="n">
        <f aca="false">$B287/BI$1</f>
        <v>0.000883190883190883</v>
      </c>
      <c r="BJ287" s="0" t="n">
        <f aca="false">$B287/BJ$1</f>
        <v>0.000868347338935574</v>
      </c>
      <c r="BL287" s="0" t="n">
        <f aca="false">IF($B$282=1,COUNTIF(C287:BJ287,"&gt;="&amp;$C$282),0)</f>
        <v>13</v>
      </c>
      <c r="BM287" s="0" t="n">
        <f aca="false">IF($B$282=1,IF(OR(BS287&gt;=Settings!$B$5,Settings!$C$18&gt;0),MAX(BL287,Settings!$C$18),0),0)</f>
        <v>13</v>
      </c>
      <c r="BN287" s="0" t="n">
        <f aca="false">IF($B$282=1,IF(OR(BS287&gt;=Settings!$B$5,Settings!$C$18&gt;0),MAX(0,(2*MAX(BL287,Settings!$C$18)+1)*$C$282-BS287),MAX(0,Settings!$B$5-BS287)),"")</f>
        <v>0.00826666666666667</v>
      </c>
      <c r="BO287" s="0" t="n">
        <f aca="false">IF($B$282=1,IF(OR(BS287&gt;=Settings!$B$5,Settings!$C$18&gt;0),IF(BL287&lt;=Settings!$C$18,"Protected by electorates",IF(Settings!$C$18=0,MIN(BS287-(2*BL287-1)*$D$282,BS287-Settings!$B$5),BS287-(2*BL287-1)*$D$282)),""),"")</f>
        <v>0.000112721417069223</v>
      </c>
      <c r="BP287" s="0" t="n">
        <f aca="false">IF($B$282=1,IF(OR(BS287&gt;=Settings!$B$5,Settings!$C$18&gt;0),MAX(0,MIN(1,(BS287/$C$282-(2*MAX(BL287,Settings!$C$18)-1))/2)),MIN(1,BS287/Settings!$B$5)),"")</f>
        <v>0</v>
      </c>
      <c r="BQ287" s="0" t="n">
        <f aca="false">IF(AND($B$282=1,COUNTIF(C287:BJ287,$C$282)&gt;0),1,0)</f>
        <v>1</v>
      </c>
      <c r="BR287" s="0" t="n">
        <f aca="false">IF(AND($B$282=1,COUNTIF(C287:BJ287,$D$282)&gt;0),1,0)</f>
        <v>0</v>
      </c>
      <c r="BS287" s="0" t="n">
        <f aca="false">N('Seat Calculator'!E12)</f>
        <v>0.103333333333333</v>
      </c>
      <c r="BT287" s="0" t="str">
        <f aca="false">IF(OR(BS287&gt;=Settings!$B$5,Settings!$C$18&gt;0),"Next seat","Threshold")</f>
        <v>Next seat</v>
      </c>
    </row>
    <row r="288" customFormat="false" ht="15" hidden="false" customHeight="false" outlineLevel="0" collapsed="false">
      <c r="A288" s="0" t="s">
        <v>50</v>
      </c>
      <c r="B288" s="0" t="n">
        <f aca="false">IF(OR(BS288&gt;=Settings!$B$5,Settings!$C$19&gt;0),BS288,0)</f>
        <v>0.0145</v>
      </c>
      <c r="C288" s="0" t="n">
        <f aca="false">$B288/C$1</f>
        <v>0.0145</v>
      </c>
      <c r="D288" s="0" t="n">
        <f aca="false">$B288/D$1</f>
        <v>0.00483333333333333</v>
      </c>
      <c r="E288" s="0" t="n">
        <f aca="false">$B288/E$1</f>
        <v>0.0029</v>
      </c>
      <c r="F288" s="0" t="n">
        <f aca="false">$B288/F$1</f>
        <v>0.00207142857142857</v>
      </c>
      <c r="G288" s="0" t="n">
        <f aca="false">$B288/G$1</f>
        <v>0.00161111111111111</v>
      </c>
      <c r="H288" s="0" t="n">
        <f aca="false">$B288/H$1</f>
        <v>0.00131818181818182</v>
      </c>
      <c r="I288" s="0" t="n">
        <f aca="false">$B288/I$1</f>
        <v>0.00111538461538462</v>
      </c>
      <c r="J288" s="0" t="n">
        <f aca="false">$B288/J$1</f>
        <v>0.000966666666666667</v>
      </c>
      <c r="K288" s="0" t="n">
        <f aca="false">$B288/K$1</f>
        <v>0.000852941176470588</v>
      </c>
      <c r="L288" s="0" t="n">
        <f aca="false">$B288/L$1</f>
        <v>0.000763157894736842</v>
      </c>
      <c r="M288" s="0" t="n">
        <f aca="false">$B288/M$1</f>
        <v>0.000690476190476191</v>
      </c>
      <c r="N288" s="0" t="n">
        <f aca="false">$B288/N$1</f>
        <v>0.000630434782608696</v>
      </c>
      <c r="O288" s="0" t="n">
        <f aca="false">$B288/O$1</f>
        <v>0.00058</v>
      </c>
      <c r="P288" s="0" t="n">
        <f aca="false">$B288/P$1</f>
        <v>0.000537037037037037</v>
      </c>
      <c r="Q288" s="0" t="n">
        <f aca="false">$B288/Q$1</f>
        <v>0.0005</v>
      </c>
      <c r="R288" s="0" t="n">
        <f aca="false">$B288/R$1</f>
        <v>0.000467741935483871</v>
      </c>
      <c r="S288" s="0" t="n">
        <f aca="false">$B288/S$1</f>
        <v>0.000439393939393939</v>
      </c>
      <c r="T288" s="0" t="n">
        <f aca="false">$B288/T$1</f>
        <v>0.000414285714285714</v>
      </c>
      <c r="U288" s="0" t="n">
        <f aca="false">$B288/U$1</f>
        <v>0.000391891891891892</v>
      </c>
      <c r="V288" s="0" t="n">
        <f aca="false">$B288/V$1</f>
        <v>0.000371794871794872</v>
      </c>
      <c r="W288" s="0" t="n">
        <f aca="false">$B288/W$1</f>
        <v>0.000353658536585366</v>
      </c>
      <c r="X288" s="0" t="n">
        <f aca="false">$B288/X$1</f>
        <v>0.000337209302325581</v>
      </c>
      <c r="Y288" s="0" t="n">
        <f aca="false">$B288/Y$1</f>
        <v>0.000322222222222222</v>
      </c>
      <c r="Z288" s="0" t="n">
        <f aca="false">$B288/Z$1</f>
        <v>0.000308510638297872</v>
      </c>
      <c r="AA288" s="0" t="n">
        <f aca="false">$B288/AA$1</f>
        <v>0.000295918367346939</v>
      </c>
      <c r="AB288" s="0" t="n">
        <f aca="false">$B288/AB$1</f>
        <v>0.000284313725490196</v>
      </c>
      <c r="AC288" s="0" t="n">
        <f aca="false">$B288/AC$1</f>
        <v>0.000273584905660377</v>
      </c>
      <c r="AD288" s="0" t="n">
        <f aca="false">$B288/AD$1</f>
        <v>0.000263636363636364</v>
      </c>
      <c r="AE288" s="0" t="n">
        <f aca="false">$B288/AE$1</f>
        <v>0.000254385964912281</v>
      </c>
      <c r="AF288" s="0" t="n">
        <f aca="false">$B288/AF$1</f>
        <v>0.000245762711864407</v>
      </c>
      <c r="AG288" s="0" t="n">
        <f aca="false">$B288/AG$1</f>
        <v>0.000237704918032787</v>
      </c>
      <c r="AH288" s="0" t="n">
        <f aca="false">$B288/AH$1</f>
        <v>0.00023015873015873</v>
      </c>
      <c r="AI288" s="0" t="n">
        <f aca="false">$B288/AI$1</f>
        <v>0.000223076923076923</v>
      </c>
      <c r="AJ288" s="0" t="n">
        <f aca="false">$B288/AJ$1</f>
        <v>0.000216417910447761</v>
      </c>
      <c r="AK288" s="0" t="n">
        <f aca="false">$B288/AK$1</f>
        <v>0.000210144927536232</v>
      </c>
      <c r="AL288" s="0" t="n">
        <f aca="false">$B288/AL$1</f>
        <v>0.000204225352112676</v>
      </c>
      <c r="AM288" s="0" t="n">
        <f aca="false">$B288/AM$1</f>
        <v>0.000198630136986301</v>
      </c>
      <c r="AN288" s="0" t="n">
        <f aca="false">$B288/AN$1</f>
        <v>0.000193333333333333</v>
      </c>
      <c r="AO288" s="0" t="n">
        <f aca="false">$B288/AO$1</f>
        <v>0.000188311688311688</v>
      </c>
      <c r="AP288" s="0" t="n">
        <f aca="false">$B288/AP$1</f>
        <v>0.000183544303797468</v>
      </c>
      <c r="AQ288" s="0" t="n">
        <f aca="false">$B288/AQ$1</f>
        <v>0.000179012345679012</v>
      </c>
      <c r="AR288" s="0" t="n">
        <f aca="false">$B288/AR$1</f>
        <v>0.000174698795180723</v>
      </c>
      <c r="AS288" s="0" t="n">
        <f aca="false">$B288/AS$1</f>
        <v>0.000170588235294118</v>
      </c>
      <c r="AT288" s="0" t="n">
        <f aca="false">$B288/AT$1</f>
        <v>0.000166666666666667</v>
      </c>
      <c r="AU288" s="0" t="n">
        <f aca="false">$B288/AU$1</f>
        <v>0.000162921348314607</v>
      </c>
      <c r="AV288" s="0" t="n">
        <f aca="false">$B288/AV$1</f>
        <v>0.000159340659340659</v>
      </c>
      <c r="AW288" s="0" t="n">
        <f aca="false">$B288/AW$1</f>
        <v>0.000155913978494624</v>
      </c>
      <c r="AX288" s="0" t="n">
        <f aca="false">$B288/AX$1</f>
        <v>0.000152631578947368</v>
      </c>
      <c r="AY288" s="0" t="n">
        <f aca="false">$B288/AY$1</f>
        <v>0.000149484536082474</v>
      </c>
      <c r="AZ288" s="0" t="n">
        <f aca="false">$B288/AZ$1</f>
        <v>0.000146464646464646</v>
      </c>
      <c r="BA288" s="0" t="n">
        <f aca="false">$B288/BA$1</f>
        <v>0.000143564356435644</v>
      </c>
      <c r="BB288" s="0" t="n">
        <f aca="false">$B288/BB$1</f>
        <v>0.000140776699029126</v>
      </c>
      <c r="BC288" s="0" t="n">
        <f aca="false">$B288/BC$1</f>
        <v>0.000138095238095238</v>
      </c>
      <c r="BD288" s="0" t="n">
        <f aca="false">$B288/BD$1</f>
        <v>0.000135514018691589</v>
      </c>
      <c r="BE288" s="0" t="n">
        <f aca="false">$B288/BE$1</f>
        <v>0.00013302752293578</v>
      </c>
      <c r="BF288" s="0" t="n">
        <f aca="false">$B288/BF$1</f>
        <v>0.000130630630630631</v>
      </c>
      <c r="BG288" s="0" t="n">
        <f aca="false">$B288/BG$1</f>
        <v>0.000128318584070796</v>
      </c>
      <c r="BH288" s="0" t="n">
        <f aca="false">$B288/BH$1</f>
        <v>0.000126086956521739</v>
      </c>
      <c r="BI288" s="0" t="n">
        <f aca="false">$B288/BI$1</f>
        <v>0.000123931623931624</v>
      </c>
      <c r="BJ288" s="0" t="n">
        <f aca="false">$B288/BJ$1</f>
        <v>0.000121848739495798</v>
      </c>
      <c r="BL288" s="0" t="n">
        <f aca="false">IF($B$282=1,COUNTIF(C288:BJ288,"&gt;="&amp;$C$282),0)</f>
        <v>2</v>
      </c>
      <c r="BM288" s="0" t="n">
        <f aca="false">IF($B$282=1,IF(OR(BS288&gt;=Settings!$B$5,Settings!$C$19&gt;0),MAX(BL288,Settings!$C$19),0),0)</f>
        <v>4</v>
      </c>
      <c r="BN288" s="0" t="n">
        <f aca="false">IF($B$282=1,IF(OR(BS288&gt;=Settings!$B$5,Settings!$C$19&gt;0),MAX(0,(2*MAX(BL288,Settings!$C$19)+1)*$C$282-BS288),MAX(0,Settings!$B$5-BS288)),"")</f>
        <v>0.0227</v>
      </c>
      <c r="BO288" s="0" t="str">
        <f aca="false">IF($B$282=1,IF(OR(BS288&gt;=Settings!$B$5,Settings!$C$19&gt;0),IF(BL288&lt;=Settings!$C$19,"Protected by electorates",IF(Settings!$C$19=0,MIN(BS288-(2*BL288-1)*$D$282,BS288-Settings!$B$5),BS288-(2*BL288-1)*$D$282)),""),"")</f>
        <v>Protected by electorates</v>
      </c>
      <c r="BP288" s="0" t="n">
        <f aca="false">IF($B$282=1,IF(OR(BS288&gt;=Settings!$B$5,Settings!$C$19&gt;0),MAX(0,MIN(1,(BS288/$C$282-(2*MAX(BL288,Settings!$C$19)-1))/2)),MIN(1,BS288/Settings!$B$5)),"")</f>
        <v>0</v>
      </c>
      <c r="BQ288" s="0" t="n">
        <f aca="false">IF(AND($B$282=1,COUNTIF(C288:BJ288,$C$282)&gt;0),1,0)</f>
        <v>0</v>
      </c>
      <c r="BR288" s="0" t="n">
        <f aca="false">IF(AND($B$282=1,COUNTIF(C288:BJ288,$D$282)&gt;0),1,0)</f>
        <v>0</v>
      </c>
      <c r="BS288" s="0" t="n">
        <f aca="false">N('Seat Calculator'!E13)</f>
        <v>0.0145</v>
      </c>
      <c r="BT288" s="0" t="str">
        <f aca="false">IF(OR(BS288&gt;=Settings!$B$5,Settings!$C$19&gt;0),"Next seat","Threshold")</f>
        <v>Next seat</v>
      </c>
    </row>
    <row r="289" customFormat="false" ht="15" hidden="false" customHeight="false" outlineLevel="0" collapsed="false">
      <c r="A289" s="0" t="s">
        <v>52</v>
      </c>
      <c r="B289" s="0" t="n">
        <f aca="false">IF(OR(BS289&gt;=Settings!$B$5,Settings!$C$20&gt;0),BS289,0)</f>
        <v>0.0614444444444445</v>
      </c>
      <c r="C289" s="0" t="n">
        <f aca="false">$B289/C$1</f>
        <v>0.0614444444444445</v>
      </c>
      <c r="D289" s="0" t="n">
        <f aca="false">$B289/D$1</f>
        <v>0.0204814814814815</v>
      </c>
      <c r="E289" s="0" t="n">
        <f aca="false">$B289/E$1</f>
        <v>0.0122888888888889</v>
      </c>
      <c r="F289" s="0" t="n">
        <f aca="false">$B289/F$1</f>
        <v>0.00877777777777778</v>
      </c>
      <c r="G289" s="0" t="n">
        <f aca="false">$B289/G$1</f>
        <v>0.00682716049382716</v>
      </c>
      <c r="H289" s="0" t="n">
        <f aca="false">$B289/H$1</f>
        <v>0.00558585858585859</v>
      </c>
      <c r="I289" s="0" t="n">
        <f aca="false">$B289/I$1</f>
        <v>0.00472649572649573</v>
      </c>
      <c r="J289" s="0" t="n">
        <f aca="false">$B289/J$1</f>
        <v>0.0040962962962963</v>
      </c>
      <c r="K289" s="0" t="n">
        <f aca="false">$B289/K$1</f>
        <v>0.00361437908496732</v>
      </c>
      <c r="L289" s="0" t="n">
        <f aca="false">$B289/L$1</f>
        <v>0.00323391812865497</v>
      </c>
      <c r="M289" s="0" t="n">
        <f aca="false">$B289/M$1</f>
        <v>0.00292592592592593</v>
      </c>
      <c r="N289" s="0" t="n">
        <f aca="false">$B289/N$1</f>
        <v>0.00267149758454106</v>
      </c>
      <c r="O289" s="0" t="n">
        <f aca="false">$B289/O$1</f>
        <v>0.00245777777777778</v>
      </c>
      <c r="P289" s="0" t="n">
        <f aca="false">$B289/P$1</f>
        <v>0.00227572016460905</v>
      </c>
      <c r="Q289" s="0" t="n">
        <f aca="false">$B289/Q$1</f>
        <v>0.00211877394636015</v>
      </c>
      <c r="R289" s="0" t="n">
        <f aca="false">$B289/R$1</f>
        <v>0.0019820788530466</v>
      </c>
      <c r="S289" s="0" t="n">
        <f aca="false">$B289/S$1</f>
        <v>0.00186195286195286</v>
      </c>
      <c r="T289" s="0" t="n">
        <f aca="false">$B289/T$1</f>
        <v>0.00175555555555556</v>
      </c>
      <c r="U289" s="0" t="n">
        <f aca="false">$B289/U$1</f>
        <v>0.00166066066066066</v>
      </c>
      <c r="V289" s="0" t="n">
        <f aca="false">$B289/V$1</f>
        <v>0.00157549857549858</v>
      </c>
      <c r="W289" s="0" t="n">
        <f aca="false">$B289/W$1</f>
        <v>0.00149864498644986</v>
      </c>
      <c r="X289" s="0" t="n">
        <f aca="false">$B289/X$1</f>
        <v>0.00142894056847545</v>
      </c>
      <c r="Y289" s="0" t="n">
        <f aca="false">$B289/Y$1</f>
        <v>0.00136543209876543</v>
      </c>
      <c r="Z289" s="0" t="n">
        <f aca="false">$B289/Z$1</f>
        <v>0.00130732860520095</v>
      </c>
      <c r="AA289" s="0" t="n">
        <f aca="false">$B289/AA$1</f>
        <v>0.00125396825396825</v>
      </c>
      <c r="AB289" s="0" t="n">
        <f aca="false">$B289/AB$1</f>
        <v>0.00120479302832244</v>
      </c>
      <c r="AC289" s="0" t="n">
        <f aca="false">$B289/AC$1</f>
        <v>0.00115932914046122</v>
      </c>
      <c r="AD289" s="0" t="n">
        <f aca="false">$B289/AD$1</f>
        <v>0.00111717171717172</v>
      </c>
      <c r="AE289" s="0" t="n">
        <f aca="false">$B289/AE$1</f>
        <v>0.00107797270955166</v>
      </c>
      <c r="AF289" s="0" t="n">
        <f aca="false">$B289/AF$1</f>
        <v>0.00104143126177024</v>
      </c>
      <c r="AG289" s="0" t="n">
        <f aca="false">$B289/AG$1</f>
        <v>0.00100728597449909</v>
      </c>
      <c r="AH289" s="0" t="n">
        <f aca="false">$B289/AH$1</f>
        <v>0.000975308641975309</v>
      </c>
      <c r="AI289" s="0" t="n">
        <f aca="false">$B289/AI$1</f>
        <v>0.000945299145299145</v>
      </c>
      <c r="AJ289" s="0" t="n">
        <f aca="false">$B289/AJ$1</f>
        <v>0.000917081260364843</v>
      </c>
      <c r="AK289" s="0" t="n">
        <f aca="false">$B289/AK$1</f>
        <v>0.000890499194847021</v>
      </c>
      <c r="AL289" s="0" t="n">
        <f aca="false">$B289/AL$1</f>
        <v>0.000865414710485133</v>
      </c>
      <c r="AM289" s="0" t="n">
        <f aca="false">$B289/AM$1</f>
        <v>0.000841704718417047</v>
      </c>
      <c r="AN289" s="0" t="n">
        <f aca="false">$B289/AN$1</f>
        <v>0.000819259259259259</v>
      </c>
      <c r="AO289" s="0" t="n">
        <f aca="false">$B289/AO$1</f>
        <v>0.000797979797979798</v>
      </c>
      <c r="AP289" s="0" t="n">
        <f aca="false">$B289/AP$1</f>
        <v>0.000777777777777778</v>
      </c>
      <c r="AQ289" s="0" t="n">
        <f aca="false">$B289/AQ$1</f>
        <v>0.000758573388203018</v>
      </c>
      <c r="AR289" s="0" t="n">
        <f aca="false">$B289/AR$1</f>
        <v>0.000740294511378849</v>
      </c>
      <c r="AS289" s="0" t="n">
        <f aca="false">$B289/AS$1</f>
        <v>0.000722875816993464</v>
      </c>
      <c r="AT289" s="0" t="n">
        <f aca="false">$B289/AT$1</f>
        <v>0.000706257982120051</v>
      </c>
      <c r="AU289" s="0" t="n">
        <f aca="false">$B289/AU$1</f>
        <v>0.000690387016229713</v>
      </c>
      <c r="AV289" s="0" t="n">
        <f aca="false">$B289/AV$1</f>
        <v>0.000675213675213675</v>
      </c>
      <c r="AW289" s="0" t="n">
        <f aca="false">$B289/AW$1</f>
        <v>0.000660692951015532</v>
      </c>
      <c r="AX289" s="0" t="n">
        <f aca="false">$B289/AX$1</f>
        <v>0.000646783625730994</v>
      </c>
      <c r="AY289" s="0" t="n">
        <f aca="false">$B289/AY$1</f>
        <v>0.000633447880870561</v>
      </c>
      <c r="AZ289" s="0" t="n">
        <f aca="false">$B289/AZ$1</f>
        <v>0.000620650953984287</v>
      </c>
      <c r="BA289" s="0" t="n">
        <f aca="false">$B289/BA$1</f>
        <v>0.000608360836083608</v>
      </c>
      <c r="BB289" s="0" t="n">
        <f aca="false">$B289/BB$1</f>
        <v>0.000596548004314995</v>
      </c>
      <c r="BC289" s="0" t="n">
        <f aca="false">$B289/BC$1</f>
        <v>0.000585185185185185</v>
      </c>
      <c r="BD289" s="0" t="n">
        <f aca="false">$B289/BD$1</f>
        <v>0.000574247144340602</v>
      </c>
      <c r="BE289" s="0" t="n">
        <f aca="false">$B289/BE$1</f>
        <v>0.000563710499490316</v>
      </c>
      <c r="BF289" s="0" t="n">
        <f aca="false">$B289/BF$1</f>
        <v>0.000553553553553554</v>
      </c>
      <c r="BG289" s="0" t="n">
        <f aca="false">$B289/BG$1</f>
        <v>0.000543756145526057</v>
      </c>
      <c r="BH289" s="0" t="n">
        <f aca="false">$B289/BH$1</f>
        <v>0.000534299516908213</v>
      </c>
      <c r="BI289" s="0" t="n">
        <f aca="false">$B289/BI$1</f>
        <v>0.000525166191832859</v>
      </c>
      <c r="BJ289" s="0" t="n">
        <f aca="false">$B289/BJ$1</f>
        <v>0.000516339869281046</v>
      </c>
      <c r="BL289" s="0" t="n">
        <f aca="false">IF($B$282=1,COUNTIF(C289:BJ289,"&gt;="&amp;$C$282),0)</f>
        <v>7</v>
      </c>
      <c r="BM289" s="0" t="n">
        <f aca="false">IF($B$282=1,IF(OR(BS289&gt;=Settings!$B$5,Settings!$C$20&gt;0),MAX(BL289,Settings!$C$20),0),0)</f>
        <v>7</v>
      </c>
      <c r="BN289" s="0" t="n">
        <f aca="false">IF($B$282=1,IF(OR(BS289&gt;=Settings!$B$5,Settings!$C$20&gt;0),MAX(0,(2*MAX(BL289,Settings!$C$20)+1)*$C$282-BS289),MAX(0,Settings!$B$5-BS289)),"")</f>
        <v>0.000555555555555552</v>
      </c>
      <c r="BO289" s="0" t="n">
        <f aca="false">IF($B$282=1,IF(OR(BS289&gt;=Settings!$B$5,Settings!$C$20&gt;0),IF(BL289&lt;=Settings!$C$20,"Protected by electorates",IF(Settings!$C$20=0,MIN(BS289-(2*BL289-1)*$D$282,BS289-Settings!$B$5),BS289-(2*BL289-1)*$D$282)),""),"")</f>
        <v>0.00776972624798712</v>
      </c>
      <c r="BP289" s="0" t="n">
        <f aca="false">IF($B$282=1,IF(OR(BS289&gt;=Settings!$B$5,Settings!$C$20&gt;0),MAX(0,MIN(1,(BS289/$C$282-(2*MAX(BL289,Settings!$C$20)-1))/2)),MIN(1,BS289/Settings!$B$5)),"")</f>
        <v>0.932795698924731</v>
      </c>
      <c r="BQ289" s="0" t="n">
        <f aca="false">IF(AND($B$282=1,COUNTIF(C289:BJ289,$C$282)&gt;0),1,0)</f>
        <v>0</v>
      </c>
      <c r="BR289" s="0" t="n">
        <f aca="false">IF(AND($B$282=1,COUNTIF(C289:BJ289,$D$282)&gt;0),1,0)</f>
        <v>0</v>
      </c>
      <c r="BS289" s="0" t="n">
        <f aca="false">N('Seat Calculator'!E14)</f>
        <v>0.0614444444444445</v>
      </c>
      <c r="BT289" s="0" t="str">
        <f aca="false">IF(OR(BS289&gt;=Settings!$B$5,Settings!$C$20&gt;0),"Next seat","Threshold")</f>
        <v>Next seat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2026-10-14T07:27:50Z</dcterms:created>
  <dc:creator>openpyxl</dc:creator>
  <dc:description/>
  <dc:language>en-US</dc:language>
  <cp:lastModifiedBy/>
  <dcterms:modified xsi:type="dcterms:W3CDTF">2026-10-14T07:27:53Z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